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4" codeName="{4D1C537B-E38A-612A-F078-A93A15B4B7F4}"/>
  <workbookPr codeName="ThisWorkbook"/>
  <mc:AlternateContent xmlns:mc="http://schemas.openxmlformats.org/markup-compatibility/2006">
    <mc:Choice Requires="x15">
      <x15ac:absPath xmlns:x15ac="http://schemas.microsoft.com/office/spreadsheetml/2010/11/ac" url="C:\Users\Anthony.Imberi\Desktop\Sperry\Hypack-Sperry-Tools\"/>
    </mc:Choice>
  </mc:AlternateContent>
  <xr:revisionPtr revIDLastSave="0" documentId="13_ncr:1_{5657A127-74DF-43CF-BE46-DCF09F765E26}" xr6:coauthVersionLast="47" xr6:coauthVersionMax="47" xr10:uidLastSave="{00000000-0000-0000-0000-000000000000}"/>
  <bookViews>
    <workbookView xWindow="5865" yWindow="2100" windowWidth="21600" windowHeight="11385" activeTab="1" xr2:uid="{00000000-000D-0000-FFFF-FFFF00000000}"/>
  </bookViews>
  <sheets>
    <sheet name="LNW Reader" sheetId="5" r:id="rId1"/>
    <sheet name="Autoline Extractor" sheetId="7" r:id="rId2"/>
    <sheet name="Sperry Utilities" sheetId="6" r:id="rId3"/>
    <sheet name="Route Maker- Start Here" sheetId="1" state="hidden" r:id="rId4"/>
    <sheet name="Data Input" sheetId="4" state="hidden" r:id="rId5"/>
    <sheet name="The Race to Ambrose" sheetId="3" state="hidden"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N58" i="3" l="1"/>
  <c r="O58" i="3" s="1"/>
  <c r="L58" i="3"/>
  <c r="M58" i="3" s="1"/>
  <c r="N57" i="3"/>
  <c r="O57" i="3" s="1"/>
  <c r="L57" i="3"/>
  <c r="M57" i="3" s="1"/>
  <c r="N56" i="3"/>
  <c r="O56" i="3" s="1"/>
  <c r="L56" i="3"/>
  <c r="M56" i="3" s="1"/>
  <c r="N55" i="3"/>
  <c r="O55" i="3" s="1"/>
  <c r="L55" i="3"/>
  <c r="M55" i="3" s="1"/>
  <c r="N54" i="3"/>
  <c r="O54" i="3" s="1"/>
  <c r="L54" i="3"/>
  <c r="M54" i="3" s="1"/>
  <c r="N53" i="3"/>
  <c r="O53" i="3" s="1"/>
  <c r="L53" i="3"/>
  <c r="M53" i="3" s="1"/>
  <c r="N52" i="3"/>
  <c r="O52" i="3" s="1"/>
  <c r="L52" i="3"/>
  <c r="M52" i="3" s="1"/>
  <c r="N51" i="3"/>
  <c r="O51" i="3" s="1"/>
  <c r="L51" i="3"/>
  <c r="M51" i="3" s="1"/>
  <c r="N50" i="3"/>
  <c r="O50" i="3" s="1"/>
  <c r="L50" i="3"/>
  <c r="M50" i="3" s="1"/>
  <c r="N49" i="3"/>
  <c r="O49" i="3" s="1"/>
  <c r="L49" i="3"/>
  <c r="M49" i="3" s="1"/>
  <c r="N48" i="3"/>
  <c r="O48" i="3" s="1"/>
  <c r="L48" i="3"/>
  <c r="M48" i="3" s="1"/>
  <c r="N47" i="3"/>
  <c r="O47" i="3" s="1"/>
  <c r="L47" i="3"/>
  <c r="M47" i="3" s="1"/>
  <c r="N46" i="3"/>
  <c r="O46" i="3" s="1"/>
  <c r="L46" i="3"/>
  <c r="M46" i="3" s="1"/>
  <c r="N45" i="3"/>
  <c r="O45" i="3" s="1"/>
  <c r="L45" i="3"/>
  <c r="M45" i="3" s="1"/>
  <c r="N44" i="3"/>
  <c r="O44" i="3" s="1"/>
  <c r="L44" i="3"/>
  <c r="M44" i="3" s="1"/>
  <c r="N43" i="3"/>
  <c r="O43" i="3" s="1"/>
  <c r="L43" i="3"/>
  <c r="M43" i="3" s="1"/>
  <c r="N42" i="3"/>
  <c r="O42" i="3" s="1"/>
  <c r="L42" i="3"/>
  <c r="M42" i="3" s="1"/>
  <c r="N41" i="3"/>
  <c r="O41" i="3" s="1"/>
  <c r="L41" i="3"/>
  <c r="M41" i="3" s="1"/>
  <c r="N40" i="3"/>
  <c r="O40" i="3" s="1"/>
  <c r="L40" i="3"/>
  <c r="M40" i="3" s="1"/>
  <c r="N39" i="3"/>
  <c r="O39" i="3" s="1"/>
  <c r="L39" i="3"/>
  <c r="M39" i="3" s="1"/>
  <c r="N38" i="3"/>
  <c r="O38" i="3" s="1"/>
  <c r="L38" i="3"/>
  <c r="M38" i="3" s="1"/>
  <c r="N37" i="3"/>
  <c r="O37" i="3" s="1"/>
  <c r="L37" i="3"/>
  <c r="M37" i="3" s="1"/>
  <c r="N36" i="3"/>
  <c r="O36" i="3" s="1"/>
  <c r="L36" i="3"/>
  <c r="M36" i="3" s="1"/>
  <c r="N35" i="3"/>
  <c r="O35" i="3" s="1"/>
  <c r="L35" i="3"/>
  <c r="M35" i="3" s="1"/>
  <c r="N34" i="3"/>
  <c r="O34" i="3" s="1"/>
  <c r="L34" i="3"/>
  <c r="M34" i="3" s="1"/>
  <c r="N33" i="3"/>
  <c r="O33" i="3" s="1"/>
  <c r="L33" i="3"/>
  <c r="M33" i="3" s="1"/>
  <c r="N32" i="3"/>
  <c r="O32" i="3" s="1"/>
  <c r="L32" i="3"/>
  <c r="M32" i="3" s="1"/>
  <c r="N31" i="3"/>
  <c r="O31" i="3" s="1"/>
  <c r="L31" i="3"/>
  <c r="M31" i="3" s="1"/>
  <c r="N30" i="3"/>
  <c r="O30" i="3" s="1"/>
  <c r="L30" i="3"/>
  <c r="M30" i="3" s="1"/>
  <c r="N29" i="3"/>
  <c r="O29" i="3" s="1"/>
  <c r="L29" i="3"/>
  <c r="M29" i="3" s="1"/>
  <c r="N28" i="3"/>
  <c r="O28" i="3" s="1"/>
  <c r="L28" i="3"/>
  <c r="M28" i="3" s="1"/>
  <c r="N27" i="3"/>
  <c r="O27" i="3" s="1"/>
  <c r="L27" i="3"/>
  <c r="M27" i="3" s="1"/>
  <c r="N26" i="3"/>
  <c r="O26" i="3" s="1"/>
  <c r="L26" i="3"/>
  <c r="M26" i="3" s="1"/>
  <c r="N25" i="3"/>
  <c r="O25" i="3" s="1"/>
  <c r="L25" i="3"/>
  <c r="M25" i="3" s="1"/>
  <c r="N24" i="3"/>
  <c r="O24" i="3" s="1"/>
  <c r="L24" i="3"/>
  <c r="M24" i="3" s="1"/>
  <c r="N23" i="3"/>
  <c r="O23" i="3" s="1"/>
  <c r="L23" i="3"/>
  <c r="M23" i="3" s="1"/>
  <c r="N22" i="3"/>
  <c r="O22" i="3" s="1"/>
  <c r="L22" i="3"/>
  <c r="M22" i="3" s="1"/>
  <c r="N21" i="3"/>
  <c r="O21" i="3" s="1"/>
  <c r="L21" i="3"/>
  <c r="M21" i="3" s="1"/>
  <c r="N20" i="3"/>
  <c r="O20" i="3" s="1"/>
  <c r="L20" i="3"/>
  <c r="M20" i="3" s="1"/>
  <c r="N19" i="3"/>
  <c r="O19" i="3" s="1"/>
  <c r="L19" i="3"/>
  <c r="M19" i="3" s="1"/>
  <c r="N18" i="3"/>
  <c r="O18" i="3" s="1"/>
  <c r="L18" i="3"/>
  <c r="M18" i="3" s="1"/>
  <c r="N17" i="3"/>
  <c r="O17" i="3" s="1"/>
  <c r="L17" i="3"/>
  <c r="M17" i="3" s="1"/>
  <c r="N16" i="3"/>
  <c r="O16" i="3" s="1"/>
  <c r="L16" i="3"/>
  <c r="M16" i="3" s="1"/>
  <c r="N15" i="3"/>
  <c r="O15" i="3" s="1"/>
  <c r="L15" i="3"/>
  <c r="M15" i="3" s="1"/>
  <c r="N14" i="3"/>
  <c r="O14" i="3" s="1"/>
  <c r="L14" i="3"/>
  <c r="M14" i="3" s="1"/>
  <c r="N13" i="3"/>
  <c r="O13" i="3" s="1"/>
  <c r="L13" i="3"/>
  <c r="M13" i="3" s="1"/>
  <c r="N12" i="3"/>
  <c r="O12" i="3" s="1"/>
  <c r="L12" i="3"/>
  <c r="M12" i="3" s="1"/>
  <c r="N11" i="3"/>
  <c r="O11" i="3" s="1"/>
  <c r="L11" i="3"/>
  <c r="M11" i="3" s="1"/>
  <c r="N10" i="3"/>
  <c r="O10" i="3" s="1"/>
  <c r="L10" i="3"/>
  <c r="M10" i="3" s="1"/>
  <c r="N9" i="3"/>
  <c r="O9" i="3" s="1"/>
  <c r="L9" i="3"/>
  <c r="M9" i="3" s="1"/>
  <c r="N8" i="3"/>
  <c r="O8" i="3" s="1"/>
  <c r="L8" i="3"/>
  <c r="M8" i="3" s="1"/>
  <c r="N7" i="3"/>
  <c r="O7" i="3" s="1"/>
  <c r="L7" i="3"/>
  <c r="M7" i="3" s="1"/>
  <c r="N6" i="3"/>
  <c r="O6" i="3" s="1"/>
  <c r="L6" i="3"/>
  <c r="M6" i="3" s="1"/>
  <c r="N5" i="3"/>
  <c r="O5" i="3" s="1"/>
  <c r="L5" i="3"/>
  <c r="M5" i="3" s="1"/>
  <c r="N4" i="3"/>
  <c r="O4" i="3" s="1"/>
  <c r="L4" i="3"/>
  <c r="M4" i="3" s="1"/>
  <c r="N3" i="3"/>
  <c r="O3" i="3" s="1"/>
  <c r="L3" i="3"/>
  <c r="M3" i="3" s="1"/>
  <c r="N2" i="3"/>
  <c r="O2" i="3" s="1"/>
  <c r="L2" i="3"/>
  <c r="M2" i="3" s="1"/>
</calcChain>
</file>

<file path=xl/sharedStrings.xml><?xml version="1.0" encoding="utf-8"?>
<sst xmlns="http://schemas.openxmlformats.org/spreadsheetml/2006/main" count="138" uniqueCount="116">
  <si>
    <t>Name</t>
  </si>
  <si>
    <t>Latitude</t>
  </si>
  <si>
    <t>Longitude</t>
  </si>
  <si>
    <t>The Race</t>
  </si>
  <si>
    <t>Fisher's Isl</t>
  </si>
  <si>
    <t>Bearing (True)</t>
  </si>
  <si>
    <t>Bearing (Mag)</t>
  </si>
  <si>
    <t>Distance</t>
  </si>
  <si>
    <t>Total Distance</t>
  </si>
  <si>
    <t>Planned Speed</t>
  </si>
  <si>
    <t>Leg Time</t>
  </si>
  <si>
    <t>Total Time</t>
  </si>
  <si>
    <t>Turn</t>
  </si>
  <si>
    <t>Lat Deg</t>
  </si>
  <si>
    <t>Lat Min</t>
  </si>
  <si>
    <t>Lon Deg</t>
  </si>
  <si>
    <t>Lon Min</t>
  </si>
  <si>
    <t>Plum Isl</t>
  </si>
  <si>
    <t>Sixmile Reef</t>
  </si>
  <si>
    <t>Stratford Shoal</t>
  </si>
  <si>
    <t>Eaton's Neck</t>
  </si>
  <si>
    <t>Oyster Bay</t>
  </si>
  <si>
    <t>Matinecock</t>
  </si>
  <si>
    <t>Prospect Pt</t>
  </si>
  <si>
    <t>Execution Rocks Light</t>
  </si>
  <si>
    <t>Execution Rks</t>
  </si>
  <si>
    <t>Gangway Rk</t>
  </si>
  <si>
    <t>Great Neck Buoy G29</t>
  </si>
  <si>
    <t>Stepping Stones</t>
  </si>
  <si>
    <t>SUNY</t>
  </si>
  <si>
    <t>Little Bay</t>
  </si>
  <si>
    <t>Throg's Neck Bridge</t>
  </si>
  <si>
    <t>Whitestone Pt</t>
  </si>
  <si>
    <t>Whitestone Bridge</t>
  </si>
  <si>
    <t>College Pt</t>
  </si>
  <si>
    <t>LGA R6</t>
  </si>
  <si>
    <t>Riker's Isl</t>
  </si>
  <si>
    <t>N Brother E</t>
  </si>
  <si>
    <t>N Brother North</t>
  </si>
  <si>
    <t>N Brother West</t>
  </si>
  <si>
    <t>Lawrence Pt</t>
  </si>
  <si>
    <t>Astoria Park RR Bridge</t>
  </si>
  <si>
    <t>Triborough</t>
  </si>
  <si>
    <t>Hell Gate G15</t>
  </si>
  <si>
    <t>Astoria</t>
  </si>
  <si>
    <t>Roosevelt Isl N.</t>
  </si>
  <si>
    <t>59th Street Bridge</t>
  </si>
  <si>
    <t>Roosevelt Isl S</t>
  </si>
  <si>
    <t>37th St</t>
  </si>
  <si>
    <t>31st St</t>
  </si>
  <si>
    <t>Kent St</t>
  </si>
  <si>
    <t>6th St</t>
  </si>
  <si>
    <t>Williamsburg Bridge</t>
  </si>
  <si>
    <t>Navy Yard</t>
  </si>
  <si>
    <t xml:space="preserve">Wallabout </t>
  </si>
  <si>
    <t>Manhattan Bridge</t>
  </si>
  <si>
    <t>Brooklyn Bridge</t>
  </si>
  <si>
    <t>Wall St</t>
  </si>
  <si>
    <t>Buttermilk N</t>
  </si>
  <si>
    <t>Red Hook</t>
  </si>
  <si>
    <t>Buttermilk S</t>
  </si>
  <si>
    <t>R32</t>
  </si>
  <si>
    <t>G1</t>
  </si>
  <si>
    <t>R28</t>
  </si>
  <si>
    <t>The Narrows</t>
  </si>
  <si>
    <t>Gravesend</t>
  </si>
  <si>
    <t>R18</t>
  </si>
  <si>
    <t>R14</t>
  </si>
  <si>
    <t>Ambrose R2</t>
  </si>
  <si>
    <t>AC Buoy</t>
  </si>
  <si>
    <t>Precautionary Area</t>
  </si>
  <si>
    <t>Instructions-</t>
  </si>
  <si>
    <t>This tool will allow you to take any route from Coastal Explorer or Coastal ECS and make it into a Sperry RTZ file which you can then import into the Sperry ECDIS.  To do this, within Coastal, navigate to the Route Details.  At the top, under Share, click "Spreasheet (Copy to clipboard as a table)</t>
  </si>
  <si>
    <t>Then you can either copy the data directly into the Data Input page or create a new sheet within this workbook.  You can name the spreadsheet anything, but you need to make sure that there is no other data within the page.</t>
  </si>
  <si>
    <t>From here, you can open up the Route Maker and start selecting your entry.  For range, you can either select the specific data in rows, or more easily, you can just select the columns like A:K.</t>
  </si>
  <si>
    <t>Once a file is created, you can then save it to a thumbdrive and import it to Sperry directly.  You may have to clear any errors and you will have to adjust any XTDs that need adjusting.  But, this will save much time in rote data entry!</t>
  </si>
  <si>
    <t>Charleston Harbor Ch</t>
  </si>
  <si>
    <t>R22</t>
  </si>
  <si>
    <t>Fort Sumter</t>
  </si>
  <si>
    <t>Ashley River</t>
  </si>
  <si>
    <t>Middle Ground</t>
  </si>
  <si>
    <t>Default Speed (kts)</t>
  </si>
  <si>
    <t>Default XTD (m)</t>
  </si>
  <si>
    <t>Line Prefix</t>
  </si>
  <si>
    <t>Line Suffix</t>
  </si>
  <si>
    <t>Output Reverse Routes?</t>
  </si>
  <si>
    <t>Yes</t>
  </si>
  <si>
    <t>!</t>
  </si>
  <si>
    <t>Line Shift</t>
  </si>
  <si>
    <t>Meters:</t>
  </si>
  <si>
    <t>Direction:</t>
  </si>
  <si>
    <t>Left</t>
  </si>
  <si>
    <t>Settings</t>
  </si>
  <si>
    <t>Config</t>
  </si>
  <si>
    <t>Project Path</t>
  </si>
  <si>
    <t>Line Name Prefix</t>
  </si>
  <si>
    <t>Line Name Suffix</t>
  </si>
  <si>
    <t>Output Path</t>
  </si>
  <si>
    <t>Hours to Look Back</t>
  </si>
  <si>
    <t>UTM Zone:</t>
  </si>
  <si>
    <t>Delete previous files in output folder?</t>
  </si>
  <si>
    <t>Increase this number to look back farther, decrease to output fewer lines.</t>
  </si>
  <si>
    <t>No</t>
  </si>
  <si>
    <t>Rate of Turn (deg/min)</t>
  </si>
  <si>
    <t>Note: Recommended to use a number between 50 and 100</t>
  </si>
  <si>
    <t>Extend last waypoint (m)</t>
  </si>
  <si>
    <t>Extend first waypoint (m)</t>
  </si>
  <si>
    <t>Last Autoline backed up:</t>
  </si>
  <si>
    <t>C:\Users\Anthony.Imberi\Desktop\Sperry\Hypack-Sperry-Tools</t>
  </si>
  <si>
    <t>C:\Users\Anthony.Imberi\Desktop\Sperry\Hypack-Sperry-Tools\Output</t>
  </si>
  <si>
    <t>Autoline 2_0004</t>
  </si>
  <si>
    <t>Last scan:</t>
  </si>
  <si>
    <t>Last update:</t>
  </si>
  <si>
    <t>Load from backup?</t>
  </si>
  <si>
    <t>Combine XTE (m)</t>
  </si>
  <si>
    <t>This feature does not work yet.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</si>
</sst>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6" tint="-0.249977111117893"/>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top style="medium">
        <color indexed="64"/>
      </top>
      <bottom/>
      <diagonal/>
    </border>
  </borders>
  <cellStyleXfs count="1">
    <xf numFmtId="0" fontId="0" fillId="0" borderId="0"/>
  </cellStyleXfs>
  <cellXfs count="53">
    <xf numFmtId="0" fontId="0" fillId="0" borderId="0" xfId="0"/>
    <xf numFmtId="0" fontId="0" fillId="0" borderId="1" xfId="0" applyBorder="1"/>
    <xf numFmtId="0" fontId="1" fillId="0" borderId="1" xfId="0" applyFont="1" applyBorder="1"/>
    <xf numFmtId="164" fontId="1" fillId="0" borderId="1" xfId="0" applyNumberFormat="1" applyFont="1" applyBorder="1"/>
    <xf numFmtId="164" fontId="0" fillId="0" borderId="1" xfId="0" applyNumberFormat="1" applyBorder="1"/>
    <xf numFmtId="0" fontId="1" fillId="2" borderId="0" xfId="0" applyFont="1" applyFill="1"/>
    <xf numFmtId="0" fontId="0" fillId="2" borderId="0" xfId="0" applyFill="1"/>
    <xf numFmtId="0" fontId="0" fillId="2" borderId="0" xfId="0" applyFill="1" applyAlignment="1">
      <alignment vertical="top" wrapText="1"/>
    </xf>
    <xf numFmtId="0" fontId="0" fillId="0" borderId="2" xfId="0" applyBorder="1"/>
    <xf numFmtId="0" fontId="0" fillId="0" borderId="4" xfId="0" applyBorder="1"/>
    <xf numFmtId="0" fontId="0" fillId="0" borderId="4" xfId="0" applyFill="1" applyBorder="1"/>
    <xf numFmtId="0" fontId="0" fillId="0" borderId="3" xfId="0" applyBorder="1" applyAlignment="1">
      <alignment horizontal="left"/>
    </xf>
    <xf numFmtId="0" fontId="0" fillId="0" borderId="5" xfId="0" applyBorder="1" applyAlignment="1">
      <alignment horizontal="left"/>
    </xf>
    <xf numFmtId="0" fontId="0" fillId="0" borderId="0" xfId="0" applyAlignment="1">
      <alignment horizontal="left"/>
    </xf>
    <xf numFmtId="0" fontId="0" fillId="0" borderId="5" xfId="0" applyBorder="1"/>
    <xf numFmtId="0" fontId="0" fillId="0" borderId="6" xfId="0" applyBorder="1"/>
    <xf numFmtId="0" fontId="0" fillId="0" borderId="7" xfId="0" applyBorder="1"/>
    <xf numFmtId="49" fontId="0" fillId="0" borderId="11" xfId="0" applyNumberFormat="1" applyBorder="1" applyAlignment="1">
      <alignment horizontal="left"/>
    </xf>
    <xf numFmtId="0" fontId="0" fillId="0" borderId="11" xfId="0" applyBorder="1"/>
    <xf numFmtId="0" fontId="0" fillId="0" borderId="3" xfId="0" applyBorder="1"/>
    <xf numFmtId="49" fontId="0" fillId="0" borderId="0" xfId="0" applyNumberFormat="1" applyBorder="1" applyAlignment="1">
      <alignment horizontal="left"/>
    </xf>
    <xf numFmtId="0" fontId="0" fillId="0" borderId="0" xfId="0" applyBorder="1"/>
    <xf numFmtId="0" fontId="0" fillId="0" borderId="0" xfId="0" applyBorder="1" applyAlignment="1">
      <alignment horizontal="left"/>
    </xf>
    <xf numFmtId="0" fontId="0" fillId="0" borderId="10" xfId="0" applyBorder="1" applyAlignment="1">
      <alignment horizontal="left"/>
    </xf>
    <xf numFmtId="0" fontId="0" fillId="0" borderId="10" xfId="0" applyBorder="1"/>
    <xf numFmtId="0" fontId="0" fillId="0" borderId="7" xfId="0" applyBorder="1" applyAlignment="1">
      <alignment horizontal="left"/>
    </xf>
    <xf numFmtId="0" fontId="0" fillId="0" borderId="6" xfId="0" applyFill="1" applyBorder="1" applyAlignment="1">
      <alignment wrapText="1"/>
    </xf>
    <xf numFmtId="0" fontId="0" fillId="0" borderId="0" xfId="0" applyFont="1"/>
    <xf numFmtId="0" fontId="0" fillId="0" borderId="4" xfId="0" applyFill="1" applyBorder="1" applyAlignment="1">
      <alignment wrapText="1"/>
    </xf>
    <xf numFmtId="0" fontId="0" fillId="0" borderId="5" xfId="0" applyFill="1" applyBorder="1" applyAlignment="1">
      <alignment horizontal="left"/>
    </xf>
    <xf numFmtId="0" fontId="0" fillId="0" borderId="6" xfId="0" applyBorder="1"/>
    <xf numFmtId="0" fontId="0" fillId="0" borderId="7" xfId="0" applyBorder="1" applyAlignment="1">
      <alignment horizontal="left"/>
    </xf>
    <xf numFmtId="0" fontId="0" fillId="0" borderId="10" xfId="0" applyBorder="1" applyAlignment="1">
      <alignment horizontal="center"/>
    </xf>
    <xf numFmtId="0" fontId="0" fillId="0" borderId="0" xfId="0" applyAlignment="1">
      <alignment horizontal="center"/>
    </xf>
    <xf numFmtId="0" fontId="0" fillId="0" borderId="2" xfId="0" applyBorder="1"/>
    <xf numFmtId="0" fontId="0" fillId="0" borderId="11" xfId="0" applyBorder="1"/>
    <xf numFmtId="0" fontId="0" fillId="0" borderId="6" xfId="0" applyBorder="1"/>
    <xf numFmtId="0" fontId="0" fillId="0" borderId="10" xfId="0" applyBorder="1"/>
    <xf numFmtId="0" fontId="0" fillId="0" borderId="11" xfId="0" applyBorder="1" applyAlignment="1">
      <alignment horizontal="left"/>
    </xf>
    <xf numFmtId="0" fontId="0" fillId="0" borderId="3" xfId="0" applyBorder="1" applyAlignment="1">
      <alignment horizontal="left"/>
    </xf>
    <xf numFmtId="0" fontId="0" fillId="0" borderId="10" xfId="0" applyBorder="1" applyAlignment="1">
      <alignment horizontal="left"/>
    </xf>
    <xf numFmtId="0" fontId="0" fillId="0" borderId="7" xfId="0" applyBorder="1" applyAlignment="1">
      <alignment horizontal="left"/>
    </xf>
    <xf numFmtId="0" fontId="0" fillId="0" borderId="8" xfId="0" applyBorder="1" applyAlignment="1">
      <alignment horizontal="center"/>
    </xf>
    <xf numFmtId="0" fontId="0" fillId="0" borderId="9" xfId="0" applyBorder="1" applyAlignment="1">
      <alignment horizontal="center"/>
    </xf>
    <xf numFmtId="0" fontId="0" fillId="2" borderId="0" xfId="0" applyFill="1" applyAlignment="1">
      <alignment horizontal="left" vertical="top" wrapText="1"/>
    </xf>
    <xf numFmtId="22" fontId="0" fillId="0" borderId="10" xfId="0" applyNumberFormat="1" applyBorder="1" applyAlignment="1">
      <alignment horizontal="left"/>
    </xf>
    <xf numFmtId="0" fontId="0" fillId="0" borderId="4" xfId="0" applyBorder="1"/>
    <xf numFmtId="0" fontId="0" fillId="0" borderId="0" xfId="0" applyBorder="1"/>
    <xf numFmtId="22" fontId="0" fillId="0" borderId="0" xfId="0" applyNumberFormat="1" applyBorder="1" applyAlignment="1">
      <alignment horizontal="left"/>
    </xf>
    <xf numFmtId="0" fontId="0" fillId="0" borderId="0" xfId="0" applyBorder="1" applyAlignment="1">
      <alignment horizontal="left"/>
    </xf>
    <xf numFmtId="0" fontId="0" fillId="0" borderId="5" xfId="0" applyBorder="1" applyAlignment="1">
      <alignment horizontal="left"/>
    </xf>
    <xf numFmtId="0" fontId="0" fillId="3" borderId="4" xfId="0" applyFill="1" applyBorder="1"/>
    <xf numFmtId="0" fontId="0" fillId="3" borderId="5" xfId="0" applyFill="1" applyBorder="1" applyAlignment="1">
      <alignment horizontal="left"/>
    </xf>
  </cellXfs>
  <cellStyles count="1">
    <cellStyle name="Normal" xfId="0" builtinId="0"/>
  </cellStyles>
  <dxfs count="1">
    <dxf>
      <fill>
        <patternFill>
          <bgColor rgb="FFF55D59"/>
        </patternFill>
      </fill>
    </dxf>
  </dxfs>
  <tableStyles count="0" defaultTableStyle="TableStyleMedium2" defaultPivotStyle="PivotStyleLight16"/>
  <colors>
    <mruColors>
      <color rgb="FFF55D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76200</xdr:colOff>
          <xdr:row>0</xdr:row>
          <xdr:rowOff>180975</xdr:rowOff>
        </xdr:from>
        <xdr:to>
          <xdr:col>7</xdr:col>
          <xdr:colOff>104775</xdr:colOff>
          <xdr:row>2</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Pick LNW Hypack File and Convert to Sperry Routes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6</xdr:row>
          <xdr:rowOff>0</xdr:rowOff>
        </xdr:from>
        <xdr:to>
          <xdr:col>7</xdr:col>
          <xdr:colOff>47625</xdr:colOff>
          <xdr:row>7</xdr:row>
          <xdr:rowOff>561975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Extract Autoline from Hypack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8</xdr:row>
          <xdr:rowOff>171450</xdr:rowOff>
        </xdr:from>
        <xdr:to>
          <xdr:col>10</xdr:col>
          <xdr:colOff>752475</xdr:colOff>
          <xdr:row>10</xdr:row>
          <xdr:rowOff>171450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Restart Autoline Backup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4</xdr:row>
          <xdr:rowOff>9525</xdr:rowOff>
        </xdr:from>
        <xdr:to>
          <xdr:col>2</xdr:col>
          <xdr:colOff>752475</xdr:colOff>
          <xdr:row>5</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Execute Line Shift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xdr:row>
          <xdr:rowOff>9525</xdr:rowOff>
        </xdr:from>
        <xdr:to>
          <xdr:col>7</xdr:col>
          <xdr:colOff>600075</xdr:colOff>
          <xdr:row>4</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Open Route Maker</a:t>
              </a:r>
            </a:p>
          </xdr:txBody>
        </xdr:sp>
        <xdr:clientData fPrintsWithSheet="0"/>
      </xdr:twoCellAnchor>
    </mc:Choice>
    <mc:Fallback/>
  </mc:AlternateContent>
  <xdr:twoCellAnchor editAs="oneCell">
    <xdr:from>
      <xdr:col>1</xdr:col>
      <xdr:colOff>352425</xdr:colOff>
      <xdr:row>8</xdr:row>
      <xdr:rowOff>66675</xdr:rowOff>
    </xdr:from>
    <xdr:to>
      <xdr:col>11</xdr:col>
      <xdr:colOff>237377</xdr:colOff>
      <xdr:row>26</xdr:row>
      <xdr:rowOff>132913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962025" y="1590675"/>
          <a:ext cx="5980952" cy="349523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32F46-F025-844B-BE29-6C1CC21AB2E1}">
  <sheetPr codeName="Sheet3"/>
  <dimension ref="B1:D9"/>
  <sheetViews>
    <sheetView workbookViewId="0">
      <pane ySplit="9" topLeftCell="A34" activePane="bottomLeft" state="frozen"/>
      <selection pane="bottomLeft" activeCell="C43" sqref="C43"/>
    </sheetView>
  </sheetViews>
  <sheetFormatPr defaultColWidth="11.42578125" defaultRowHeight="15" x14ac:dyDescent="0.25"/>
  <cols>
    <col min="1" max="1" width="10.42578125" customWidth="1"/>
    <col min="2" max="2" width="22.85546875" style="13" bestFit="1" customWidth="1"/>
  </cols>
  <sheetData>
    <row r="1" spans="2:4" ht="15.75" thickBot="1" x14ac:dyDescent="0.3">
      <c r="B1" s="32" t="s">
        <v>92</v>
      </c>
      <c r="C1" s="32"/>
    </row>
    <row r="2" spans="2:4" x14ac:dyDescent="0.25">
      <c r="B2" s="8" t="s">
        <v>83</v>
      </c>
      <c r="C2" s="11" t="s">
        <v>87</v>
      </c>
    </row>
    <row r="3" spans="2:4" x14ac:dyDescent="0.25">
      <c r="B3" s="9" t="s">
        <v>84</v>
      </c>
      <c r="C3" s="12"/>
    </row>
    <row r="4" spans="2:4" x14ac:dyDescent="0.25">
      <c r="B4" s="9" t="s">
        <v>81</v>
      </c>
      <c r="C4" s="12">
        <v>7.5</v>
      </c>
    </row>
    <row r="5" spans="2:4" x14ac:dyDescent="0.25">
      <c r="B5" s="9" t="s">
        <v>103</v>
      </c>
      <c r="C5" s="12">
        <v>100</v>
      </c>
      <c r="D5" t="s">
        <v>104</v>
      </c>
    </row>
    <row r="6" spans="2:4" x14ac:dyDescent="0.25">
      <c r="B6" s="9" t="s">
        <v>82</v>
      </c>
      <c r="C6" s="12">
        <v>20</v>
      </c>
    </row>
    <row r="7" spans="2:4" x14ac:dyDescent="0.25">
      <c r="B7" s="10" t="s">
        <v>85</v>
      </c>
      <c r="C7" s="12" t="s">
        <v>102</v>
      </c>
    </row>
    <row r="8" spans="2:4" x14ac:dyDescent="0.25">
      <c r="B8" s="10" t="s">
        <v>99</v>
      </c>
      <c r="C8" s="12">
        <v>17</v>
      </c>
    </row>
    <row r="9" spans="2:4" ht="30.75" thickBot="1" x14ac:dyDescent="0.3">
      <c r="B9" s="26" t="s">
        <v>100</v>
      </c>
      <c r="C9" s="25" t="s">
        <v>102</v>
      </c>
    </row>
  </sheetData>
  <mergeCells count="1">
    <mergeCell ref="B1:C1"/>
  </mergeCells>
  <dataValidations count="1">
    <dataValidation type="list" showInputMessage="1" showErrorMessage="1" sqref="C7 C9" xr:uid="{5FE60185-3C73-FD47-AFAF-2CA187EA20A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adLnw">
                <anchor moveWithCells="1" sizeWithCells="1">
                  <from>
                    <xdr:col>3</xdr:col>
                    <xdr:colOff>76200</xdr:colOff>
                    <xdr:row>0</xdr:row>
                    <xdr:rowOff>180975</xdr:rowOff>
                  </from>
                  <to>
                    <xdr:col>7</xdr:col>
                    <xdr:colOff>104775</xdr:colOff>
                    <xdr:row>2</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094DA-7935-0142-99E7-D38375702959}">
  <sheetPr codeName="Sheet5"/>
  <dimension ref="B1:U12"/>
  <sheetViews>
    <sheetView tabSelected="1" workbookViewId="0">
      <pane ySplit="12" topLeftCell="A13" activePane="bottomLeft" state="frozen"/>
      <selection pane="bottomLeft" activeCell="E12" sqref="E12"/>
    </sheetView>
  </sheetViews>
  <sheetFormatPr defaultColWidth="11.42578125" defaultRowHeight="15" x14ac:dyDescent="0.25"/>
  <cols>
    <col min="2" max="2" width="23" customWidth="1"/>
    <col min="5" max="5" width="27.42578125" bestFit="1" customWidth="1"/>
    <col min="6" max="6" width="10.85546875" style="13"/>
  </cols>
  <sheetData>
    <row r="1" spans="2:21" ht="15.75" thickBot="1" x14ac:dyDescent="0.3">
      <c r="B1" s="32" t="s">
        <v>92</v>
      </c>
      <c r="C1" s="32"/>
      <c r="E1" s="33" t="s">
        <v>93</v>
      </c>
      <c r="F1" s="33"/>
    </row>
    <row r="2" spans="2:21" x14ac:dyDescent="0.25">
      <c r="B2" s="8" t="s">
        <v>95</v>
      </c>
      <c r="C2" s="11" t="s">
        <v>87</v>
      </c>
      <c r="E2" s="8" t="s">
        <v>94</v>
      </c>
      <c r="F2" s="17" t="s">
        <v>108</v>
      </c>
      <c r="G2" s="18"/>
      <c r="H2" s="18"/>
      <c r="I2" s="18"/>
      <c r="J2" s="18"/>
      <c r="K2" s="18"/>
      <c r="L2" s="18"/>
      <c r="M2" s="18"/>
      <c r="N2" s="18"/>
      <c r="O2" s="18"/>
      <c r="P2" s="18"/>
      <c r="Q2" s="18"/>
      <c r="R2" s="18"/>
      <c r="S2" s="18"/>
      <c r="T2" s="18"/>
      <c r="U2" s="19"/>
    </row>
    <row r="3" spans="2:21" x14ac:dyDescent="0.25">
      <c r="B3" s="9" t="s">
        <v>96</v>
      </c>
      <c r="C3" s="12"/>
      <c r="E3" s="9" t="s">
        <v>97</v>
      </c>
      <c r="F3" s="20" t="s">
        <v>109</v>
      </c>
      <c r="G3" s="21"/>
      <c r="H3" s="21"/>
      <c r="I3" s="21"/>
      <c r="J3" s="21"/>
      <c r="K3" s="21"/>
      <c r="L3" s="21"/>
      <c r="M3" s="21"/>
      <c r="N3" s="21"/>
      <c r="O3" s="21"/>
      <c r="P3" s="21"/>
      <c r="Q3" s="21"/>
      <c r="R3" s="21"/>
      <c r="S3" s="21"/>
      <c r="T3" s="21"/>
      <c r="U3" s="14"/>
    </row>
    <row r="4" spans="2:21" ht="15.75" thickBot="1" x14ac:dyDescent="0.3">
      <c r="B4" s="9" t="s">
        <v>81</v>
      </c>
      <c r="C4" s="12">
        <v>7.5</v>
      </c>
      <c r="E4" s="15" t="s">
        <v>98</v>
      </c>
      <c r="F4" s="23">
        <v>9999</v>
      </c>
      <c r="G4" s="24" t="s">
        <v>101</v>
      </c>
      <c r="H4" s="24"/>
      <c r="I4" s="24"/>
      <c r="J4" s="24"/>
      <c r="K4" s="24"/>
      <c r="L4" s="24"/>
      <c r="M4" s="24"/>
      <c r="N4" s="24"/>
      <c r="O4" s="24"/>
      <c r="P4" s="24"/>
      <c r="Q4" s="24"/>
      <c r="R4" s="24"/>
      <c r="S4" s="24"/>
      <c r="T4" s="24"/>
      <c r="U4" s="16"/>
    </row>
    <row r="5" spans="2:21" ht="15.75" thickBot="1" x14ac:dyDescent="0.3">
      <c r="B5" s="9" t="s">
        <v>103</v>
      </c>
      <c r="C5" s="12">
        <v>100</v>
      </c>
      <c r="D5" t="s">
        <v>104</v>
      </c>
      <c r="E5" s="21"/>
      <c r="F5" s="22"/>
      <c r="G5" s="21"/>
      <c r="H5" s="21"/>
      <c r="I5" s="21"/>
      <c r="J5" s="21"/>
      <c r="K5" s="21"/>
      <c r="L5" s="21"/>
      <c r="M5" s="21"/>
      <c r="N5" s="21"/>
      <c r="O5" s="21"/>
      <c r="P5" s="21"/>
      <c r="Q5" s="21"/>
      <c r="R5" s="21"/>
      <c r="S5" s="21"/>
      <c r="T5" s="21"/>
      <c r="U5" s="21"/>
    </row>
    <row r="6" spans="2:21" x14ac:dyDescent="0.25">
      <c r="B6" s="9" t="s">
        <v>82</v>
      </c>
      <c r="C6" s="12">
        <v>20</v>
      </c>
      <c r="E6" s="21"/>
      <c r="F6" s="22"/>
      <c r="G6" s="21"/>
      <c r="H6" s="21"/>
      <c r="I6" s="34" t="s">
        <v>107</v>
      </c>
      <c r="J6" s="35"/>
      <c r="K6" s="38" t="s">
        <v>110</v>
      </c>
      <c r="L6" s="38"/>
      <c r="M6" s="39"/>
      <c r="N6" s="21"/>
      <c r="O6" s="21"/>
      <c r="P6" s="21"/>
      <c r="Q6" s="21"/>
      <c r="R6" s="21"/>
      <c r="S6" s="21"/>
      <c r="T6" s="21"/>
      <c r="U6" s="21"/>
    </row>
    <row r="7" spans="2:21" x14ac:dyDescent="0.25">
      <c r="B7" s="10" t="s">
        <v>85</v>
      </c>
      <c r="C7" s="12" t="s">
        <v>102</v>
      </c>
      <c r="I7" s="46" t="s">
        <v>111</v>
      </c>
      <c r="J7" s="47"/>
      <c r="K7" s="48">
        <v>46116.861805555556</v>
      </c>
      <c r="L7" s="49"/>
      <c r="M7" s="50"/>
    </row>
    <row r="8" spans="2:21" ht="30.75" thickBot="1" x14ac:dyDescent="0.3">
      <c r="B8" s="28" t="s">
        <v>100</v>
      </c>
      <c r="C8" s="12" t="s">
        <v>86</v>
      </c>
      <c r="I8" s="36" t="s">
        <v>112</v>
      </c>
      <c r="J8" s="37"/>
      <c r="K8" s="45">
        <v>46116.842361111114</v>
      </c>
      <c r="L8" s="40"/>
      <c r="M8" s="41"/>
    </row>
    <row r="9" spans="2:21" x14ac:dyDescent="0.25">
      <c r="B9" s="10" t="s">
        <v>106</v>
      </c>
      <c r="C9" s="29">
        <v>300</v>
      </c>
    </row>
    <row r="10" spans="2:21" x14ac:dyDescent="0.25">
      <c r="B10" s="10" t="s">
        <v>105</v>
      </c>
      <c r="C10" s="12">
        <v>100</v>
      </c>
      <c r="E10" s="27"/>
    </row>
    <row r="11" spans="2:21" x14ac:dyDescent="0.25">
      <c r="B11" s="51" t="s">
        <v>114</v>
      </c>
      <c r="C11" s="52">
        <v>20</v>
      </c>
      <c r="D11" t="s">
        <v>115</v>
      </c>
    </row>
    <row r="12" spans="2:21" ht="15.75" thickBot="1" x14ac:dyDescent="0.3">
      <c r="B12" s="30" t="s">
        <v>113</v>
      </c>
      <c r="C12" s="31" t="s">
        <v>86</v>
      </c>
    </row>
  </sheetData>
  <mergeCells count="8">
    <mergeCell ref="I8:J8"/>
    <mergeCell ref="K8:M8"/>
    <mergeCell ref="B1:C1"/>
    <mergeCell ref="E1:F1"/>
    <mergeCell ref="I7:J7"/>
    <mergeCell ref="K7:M7"/>
    <mergeCell ref="K6:M6"/>
    <mergeCell ref="I6:J6"/>
  </mergeCells>
  <conditionalFormatting sqref="K7:M7">
    <cfRule type="expression" dxfId="0" priority="1">
      <formula>NOW() - K7 &gt;= (5 / 1440)</formula>
    </cfRule>
  </conditionalFormatting>
  <dataValidations count="1">
    <dataValidation type="list" showInputMessage="1" showErrorMessage="1" sqref="C7:C8 C12" xr:uid="{55A33B98-2ACC-3342-8260-D8A785BD0B17}">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adRawFiles">
                <anchor moveWithCells="1" sizeWithCells="1">
                  <from>
                    <xdr:col>4</xdr:col>
                    <xdr:colOff>47625</xdr:colOff>
                    <xdr:row>6</xdr:row>
                    <xdr:rowOff>0</xdr:rowOff>
                  </from>
                  <to>
                    <xdr:col>7</xdr:col>
                    <xdr:colOff>47625</xdr:colOff>
                    <xdr:row>7</xdr:row>
                    <xdr:rowOff>561975</xdr:rowOff>
                  </to>
                </anchor>
              </controlPr>
            </control>
          </mc:Choice>
        </mc:AlternateContent>
        <mc:AlternateContent xmlns:mc="http://schemas.openxmlformats.org/markup-compatibility/2006">
          <mc:Choice Requires="x14">
            <control shapeId="6146" r:id="rId5" name="Button 2">
              <controlPr defaultSize="0" print="0" autoFill="0" autoPict="0" macro="[0]!SaveAutolineData">
                <anchor moveWithCells="1" sizeWithCells="1">
                  <from>
                    <xdr:col>8</xdr:col>
                    <xdr:colOff>9525</xdr:colOff>
                    <xdr:row>8</xdr:row>
                    <xdr:rowOff>171450</xdr:rowOff>
                  </from>
                  <to>
                    <xdr:col>10</xdr:col>
                    <xdr:colOff>752475</xdr:colOff>
                    <xdr:row>10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5A348-5FD0-6C47-8321-8F48B8F662F4}">
  <sheetPr codeName="Sheet4"/>
  <dimension ref="B1:C6"/>
  <sheetViews>
    <sheetView workbookViewId="0">
      <selection activeCell="D5" sqref="D5"/>
    </sheetView>
  </sheetViews>
  <sheetFormatPr defaultColWidth="11.42578125" defaultRowHeight="15" x14ac:dyDescent="0.25"/>
  <sheetData>
    <row r="1" spans="2:3" ht="15.75" thickBot="1" x14ac:dyDescent="0.3"/>
    <row r="2" spans="2:3" x14ac:dyDescent="0.25">
      <c r="B2" s="42" t="s">
        <v>88</v>
      </c>
      <c r="C2" s="43"/>
    </row>
    <row r="3" spans="2:3" x14ac:dyDescent="0.25">
      <c r="B3" s="9" t="s">
        <v>89</v>
      </c>
      <c r="C3" s="12">
        <v>5</v>
      </c>
    </row>
    <row r="4" spans="2:3" x14ac:dyDescent="0.25">
      <c r="B4" s="9" t="s">
        <v>90</v>
      </c>
      <c r="C4" s="12" t="s">
        <v>91</v>
      </c>
    </row>
    <row r="5" spans="2:3" x14ac:dyDescent="0.25">
      <c r="B5" s="9"/>
      <c r="C5" s="14"/>
    </row>
    <row r="6" spans="2:3" ht="15.75" thickBot="1" x14ac:dyDescent="0.3">
      <c r="B6" s="15"/>
      <c r="C6" s="16"/>
    </row>
  </sheetData>
  <mergeCells count="1">
    <mergeCell ref="B2:C2"/>
  </mergeCells>
  <dataValidations count="1">
    <dataValidation type="list" allowBlank="1" showInputMessage="1" showErrorMessage="1" sqref="C4" xr:uid="{8DC4876D-7627-F947-9EA4-BC157F830107}">
      <formula1>"Left,Right"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iftLine">
                <anchor moveWithCells="1" sizeWithCells="1">
                  <from>
                    <xdr:col>1</xdr:col>
                    <xdr:colOff>28575</xdr:colOff>
                    <xdr:row>4</xdr:row>
                    <xdr:rowOff>9525</xdr:rowOff>
                  </from>
                  <to>
                    <xdr:col>2</xdr:col>
                    <xdr:colOff>752475</xdr:colOff>
                    <xdr:row>5</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6:N35"/>
  <sheetViews>
    <sheetView workbookViewId="0">
      <selection activeCell="G5" sqref="G5"/>
    </sheetView>
  </sheetViews>
  <sheetFormatPr defaultColWidth="9.140625" defaultRowHeight="15" x14ac:dyDescent="0.25"/>
  <cols>
    <col min="1" max="16384" width="9.140625" style="6"/>
  </cols>
  <sheetData>
    <row r="6" spans="1:14" x14ac:dyDescent="0.25">
      <c r="A6" s="5" t="s">
        <v>71</v>
      </c>
    </row>
    <row r="7" spans="1:14" ht="15" customHeight="1" x14ac:dyDescent="0.25">
      <c r="A7" s="44" t="s">
        <v>72</v>
      </c>
      <c r="B7" s="44"/>
      <c r="C7" s="44"/>
      <c r="D7" s="44"/>
      <c r="E7" s="44"/>
      <c r="F7" s="44"/>
      <c r="G7" s="44"/>
      <c r="H7" s="44"/>
      <c r="I7" s="44"/>
      <c r="J7" s="44"/>
      <c r="K7" s="44"/>
      <c r="L7" s="44"/>
      <c r="M7" s="44"/>
      <c r="N7" s="44"/>
    </row>
    <row r="8" spans="1:14" x14ac:dyDescent="0.25">
      <c r="A8" s="44"/>
      <c r="B8" s="44"/>
      <c r="C8" s="44"/>
      <c r="D8" s="44"/>
      <c r="E8" s="44"/>
      <c r="F8" s="44"/>
      <c r="G8" s="44"/>
      <c r="H8" s="44"/>
      <c r="I8" s="44"/>
      <c r="J8" s="44"/>
      <c r="K8" s="44"/>
      <c r="L8" s="44"/>
      <c r="M8" s="44"/>
      <c r="N8" s="44"/>
    </row>
    <row r="9" spans="1:14" x14ac:dyDescent="0.25">
      <c r="A9" s="44"/>
      <c r="B9" s="44"/>
      <c r="C9" s="44"/>
      <c r="D9" s="44"/>
      <c r="E9" s="44"/>
      <c r="F9" s="44"/>
      <c r="G9" s="44"/>
      <c r="H9" s="44"/>
      <c r="I9" s="44"/>
      <c r="J9" s="44"/>
      <c r="K9" s="44"/>
      <c r="L9" s="44"/>
      <c r="M9" s="44"/>
      <c r="N9" s="44"/>
    </row>
    <row r="10" spans="1:14" x14ac:dyDescent="0.25">
      <c r="A10" s="7"/>
      <c r="B10" s="7"/>
      <c r="C10" s="7"/>
      <c r="D10" s="7"/>
      <c r="E10" s="7"/>
      <c r="F10" s="7"/>
      <c r="G10" s="7"/>
      <c r="H10" s="7"/>
      <c r="I10" s="7"/>
      <c r="J10" s="7"/>
      <c r="K10" s="7"/>
      <c r="L10" s="7"/>
      <c r="M10" s="7"/>
      <c r="N10" s="7"/>
    </row>
    <row r="11" spans="1:14" x14ac:dyDescent="0.25">
      <c r="A11" s="7"/>
      <c r="B11" s="7"/>
      <c r="C11" s="7"/>
      <c r="D11" s="7"/>
      <c r="E11" s="7"/>
      <c r="F11" s="7"/>
      <c r="G11" s="7"/>
      <c r="H11" s="7"/>
      <c r="I11" s="7"/>
      <c r="J11" s="7"/>
      <c r="K11" s="7"/>
      <c r="L11" s="7"/>
      <c r="M11" s="7"/>
      <c r="N11" s="7"/>
    </row>
    <row r="12" spans="1:14" x14ac:dyDescent="0.25">
      <c r="A12" s="7"/>
      <c r="B12" s="7"/>
      <c r="C12" s="7"/>
      <c r="D12" s="7"/>
      <c r="E12" s="7"/>
      <c r="F12" s="7"/>
      <c r="G12" s="7"/>
      <c r="H12" s="7"/>
      <c r="I12" s="7"/>
      <c r="J12" s="7"/>
      <c r="K12" s="7"/>
      <c r="L12" s="7"/>
      <c r="M12" s="7"/>
      <c r="N12" s="7"/>
    </row>
    <row r="28" spans="1:14" ht="15" customHeight="1" x14ac:dyDescent="0.25">
      <c r="A28" s="44" t="s">
        <v>73</v>
      </c>
      <c r="B28" s="44"/>
      <c r="C28" s="44"/>
      <c r="D28" s="44"/>
      <c r="E28" s="44"/>
      <c r="F28" s="44"/>
      <c r="G28" s="44"/>
      <c r="H28" s="44"/>
      <c r="I28" s="44"/>
      <c r="J28" s="44"/>
      <c r="K28" s="44"/>
      <c r="L28" s="44"/>
      <c r="M28" s="44"/>
      <c r="N28" s="44"/>
    </row>
    <row r="29" spans="1:14" x14ac:dyDescent="0.25">
      <c r="A29" s="44"/>
      <c r="B29" s="44"/>
      <c r="C29" s="44"/>
      <c r="D29" s="44"/>
      <c r="E29" s="44"/>
      <c r="F29" s="44"/>
      <c r="G29" s="44"/>
      <c r="H29" s="44"/>
      <c r="I29" s="44"/>
      <c r="J29" s="44"/>
      <c r="K29" s="44"/>
      <c r="L29" s="44"/>
      <c r="M29" s="44"/>
      <c r="N29" s="44"/>
    </row>
    <row r="30" spans="1:14" x14ac:dyDescent="0.25">
      <c r="A30" s="7"/>
      <c r="B30" s="7"/>
      <c r="C30" s="7"/>
      <c r="D30" s="7"/>
      <c r="E30" s="7"/>
      <c r="F30" s="7"/>
      <c r="G30" s="7"/>
      <c r="H30" s="7"/>
      <c r="I30" s="7"/>
      <c r="J30" s="7"/>
      <c r="K30" s="7"/>
      <c r="L30" s="7"/>
      <c r="M30" s="7"/>
      <c r="N30" s="7"/>
    </row>
    <row r="31" spans="1:14" x14ac:dyDescent="0.25">
      <c r="A31" s="44" t="s">
        <v>74</v>
      </c>
      <c r="B31" s="44"/>
      <c r="C31" s="44"/>
      <c r="D31" s="44"/>
      <c r="E31" s="44"/>
      <c r="F31" s="44"/>
      <c r="G31" s="44"/>
      <c r="H31" s="44"/>
      <c r="I31" s="44"/>
      <c r="J31" s="44"/>
      <c r="K31" s="44"/>
      <c r="L31" s="44"/>
      <c r="M31" s="44"/>
      <c r="N31" s="44"/>
    </row>
    <row r="32" spans="1:14" x14ac:dyDescent="0.25">
      <c r="A32" s="44"/>
      <c r="B32" s="44"/>
      <c r="C32" s="44"/>
      <c r="D32" s="44"/>
      <c r="E32" s="44"/>
      <c r="F32" s="44"/>
      <c r="G32" s="44"/>
      <c r="H32" s="44"/>
      <c r="I32" s="44"/>
      <c r="J32" s="44"/>
      <c r="K32" s="44"/>
      <c r="L32" s="44"/>
      <c r="M32" s="44"/>
      <c r="N32" s="44"/>
    </row>
    <row r="34" spans="1:14" x14ac:dyDescent="0.25">
      <c r="A34" s="44" t="s">
        <v>75</v>
      </c>
      <c r="B34" s="44"/>
      <c r="C34" s="44"/>
      <c r="D34" s="44"/>
      <c r="E34" s="44"/>
      <c r="F34" s="44"/>
      <c r="G34" s="44"/>
      <c r="H34" s="44"/>
      <c r="I34" s="44"/>
      <c r="J34" s="44"/>
      <c r="K34" s="44"/>
      <c r="L34" s="44"/>
      <c r="M34" s="44"/>
      <c r="N34" s="44"/>
    </row>
    <row r="35" spans="1:14" x14ac:dyDescent="0.25">
      <c r="A35" s="44"/>
      <c r="B35" s="44"/>
      <c r="C35" s="44"/>
      <c r="D35" s="44"/>
      <c r="E35" s="44"/>
      <c r="F35" s="44"/>
      <c r="G35" s="44"/>
      <c r="H35" s="44"/>
      <c r="I35" s="44"/>
      <c r="J35" s="44"/>
      <c r="K35" s="44"/>
      <c r="L35" s="44"/>
      <c r="M35" s="44"/>
      <c r="N35" s="44"/>
    </row>
  </sheetData>
  <mergeCells count="4">
    <mergeCell ref="A34:N35"/>
    <mergeCell ref="A7:N9"/>
    <mergeCell ref="A28:N29"/>
    <mergeCell ref="A31:N3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5</xdr:col>
                    <xdr:colOff>0</xdr:colOff>
                    <xdr:row>2</xdr:row>
                    <xdr:rowOff>9525</xdr:rowOff>
                  </from>
                  <to>
                    <xdr:col>7</xdr:col>
                    <xdr:colOff>600075</xdr:colOff>
                    <xdr:row>4</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7"/>
  <sheetViews>
    <sheetView workbookViewId="0">
      <selection activeCell="J1" sqref="J1"/>
    </sheetView>
  </sheetViews>
  <sheetFormatPr defaultColWidth="8.85546875" defaultRowHeight="15" x14ac:dyDescent="0.25"/>
  <sheetData>
    <row r="1" spans="1:11" x14ac:dyDescent="0.25">
      <c r="A1" t="s">
        <v>0</v>
      </c>
      <c r="B1" t="s">
        <v>5</v>
      </c>
      <c r="C1" t="s">
        <v>6</v>
      </c>
      <c r="D1" t="s">
        <v>7</v>
      </c>
      <c r="E1" t="s">
        <v>8</v>
      </c>
      <c r="F1" t="s">
        <v>9</v>
      </c>
      <c r="G1" t="s">
        <v>10</v>
      </c>
      <c r="H1" t="s">
        <v>11</v>
      </c>
      <c r="I1" t="s">
        <v>12</v>
      </c>
      <c r="J1" t="s">
        <v>1</v>
      </c>
      <c r="K1" t="s">
        <v>2</v>
      </c>
    </row>
    <row r="2" spans="1:11" x14ac:dyDescent="0.25">
      <c r="J2">
        <v>33.541984999999997</v>
      </c>
      <c r="K2">
        <v>-77.231314999999995</v>
      </c>
    </row>
    <row r="3" spans="1:11" x14ac:dyDescent="0.25">
      <c r="A3" t="s">
        <v>76</v>
      </c>
      <c r="B3">
        <v>246.21946299999999</v>
      </c>
      <c r="C3">
        <v>256.085868</v>
      </c>
      <c r="D3">
        <v>133.055601</v>
      </c>
      <c r="E3">
        <v>133.055601</v>
      </c>
      <c r="F3">
        <v>12</v>
      </c>
      <c r="G3">
        <v>39917</v>
      </c>
      <c r="H3">
        <v>39917</v>
      </c>
      <c r="I3">
        <v>53</v>
      </c>
      <c r="J3">
        <v>32.647775000000003</v>
      </c>
      <c r="K3">
        <v>-79.653645999999995</v>
      </c>
    </row>
    <row r="4" spans="1:11" x14ac:dyDescent="0.25">
      <c r="A4" t="s">
        <v>77</v>
      </c>
      <c r="B4">
        <v>299.51063900000003</v>
      </c>
      <c r="C4">
        <v>307.896973</v>
      </c>
      <c r="D4">
        <v>11.143088000000001</v>
      </c>
      <c r="E4">
        <v>144.198689</v>
      </c>
      <c r="F4">
        <v>12</v>
      </c>
      <c r="G4">
        <v>3343</v>
      </c>
      <c r="H4">
        <v>43260</v>
      </c>
      <c r="I4">
        <v>18</v>
      </c>
      <c r="J4">
        <v>32.739257000000002</v>
      </c>
      <c r="K4">
        <v>-79.845696000000004</v>
      </c>
    </row>
    <row r="5" spans="1:11" x14ac:dyDescent="0.25">
      <c r="A5" t="s">
        <v>78</v>
      </c>
      <c r="B5">
        <v>317.85019699999998</v>
      </c>
      <c r="C5">
        <v>326.13398599999999</v>
      </c>
      <c r="D5">
        <v>1.5747119999999999</v>
      </c>
      <c r="E5">
        <v>145.77340100000001</v>
      </c>
      <c r="F5">
        <v>12</v>
      </c>
      <c r="G5">
        <v>473</v>
      </c>
      <c r="H5">
        <v>43733</v>
      </c>
      <c r="I5">
        <v>-48</v>
      </c>
      <c r="J5">
        <v>32.758715000000002</v>
      </c>
      <c r="K5">
        <v>-79.866636999999997</v>
      </c>
    </row>
    <row r="6" spans="1:11" x14ac:dyDescent="0.25">
      <c r="A6" t="s">
        <v>79</v>
      </c>
      <c r="B6">
        <v>270.08152799999999</v>
      </c>
      <c r="C6">
        <v>278.35522700000001</v>
      </c>
      <c r="D6">
        <v>1.476534</v>
      </c>
      <c r="E6">
        <v>147.249934</v>
      </c>
      <c r="F6">
        <v>12</v>
      </c>
      <c r="G6">
        <v>443</v>
      </c>
      <c r="H6">
        <v>44176</v>
      </c>
      <c r="I6">
        <v>-25</v>
      </c>
      <c r="J6">
        <v>32.758749999999999</v>
      </c>
      <c r="K6">
        <v>-79.895899999999997</v>
      </c>
    </row>
    <row r="7" spans="1:11" x14ac:dyDescent="0.25">
      <c r="A7" t="s">
        <v>80</v>
      </c>
      <c r="B7">
        <v>246.07297600000001</v>
      </c>
      <c r="C7">
        <v>254.32931600000001</v>
      </c>
      <c r="D7">
        <v>0.38003700000000001</v>
      </c>
      <c r="E7">
        <v>147.62997100000001</v>
      </c>
      <c r="F7">
        <v>12</v>
      </c>
      <c r="G7">
        <v>115</v>
      </c>
      <c r="H7">
        <v>44291</v>
      </c>
      <c r="J7">
        <v>32.756180999999998</v>
      </c>
      <c r="K7">
        <v>-79.902783999999997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O58"/>
  <sheetViews>
    <sheetView workbookViewId="0">
      <selection activeCell="N20" sqref="N20"/>
    </sheetView>
  </sheetViews>
  <sheetFormatPr defaultColWidth="8.85546875" defaultRowHeight="15" x14ac:dyDescent="0.25"/>
  <cols>
    <col min="1" max="1" width="20.42578125" customWidth="1"/>
    <col min="2" max="12" width="9.140625" customWidth="1"/>
  </cols>
  <sheetData>
    <row r="1" spans="1:15" x14ac:dyDescent="0.25">
      <c r="A1" s="1" t="s">
        <v>0</v>
      </c>
      <c r="B1" s="1" t="s">
        <v>5</v>
      </c>
      <c r="C1" s="1" t="s">
        <v>6</v>
      </c>
      <c r="D1" s="1" t="s">
        <v>7</v>
      </c>
      <c r="E1" s="1" t="s">
        <v>8</v>
      </c>
      <c r="F1" s="1" t="s">
        <v>9</v>
      </c>
      <c r="G1" s="1" t="s">
        <v>10</v>
      </c>
      <c r="H1" s="1" t="s">
        <v>11</v>
      </c>
      <c r="I1" s="1" t="s">
        <v>12</v>
      </c>
      <c r="J1" s="1" t="s">
        <v>1</v>
      </c>
      <c r="K1" s="1" t="s">
        <v>2</v>
      </c>
      <c r="L1" s="2" t="s">
        <v>13</v>
      </c>
      <c r="M1" s="3" t="s">
        <v>14</v>
      </c>
      <c r="N1" s="2" t="s">
        <v>15</v>
      </c>
      <c r="O1" s="3" t="s">
        <v>16</v>
      </c>
    </row>
    <row r="2" spans="1:15" x14ac:dyDescent="0.25">
      <c r="A2" s="1" t="s">
        <v>4</v>
      </c>
      <c r="B2" s="1"/>
      <c r="C2" s="1"/>
      <c r="D2" s="1"/>
      <c r="E2" s="1"/>
      <c r="F2" s="1"/>
      <c r="G2" s="1"/>
      <c r="H2" s="1"/>
      <c r="I2" s="1"/>
      <c r="J2" s="1">
        <v>41.228425999999999</v>
      </c>
      <c r="K2" s="1">
        <v>-72.019968000000006</v>
      </c>
      <c r="L2" s="1">
        <f>INT(J2)</f>
        <v>41</v>
      </c>
      <c r="M2" s="4">
        <f>(J2-L2)*60</f>
        <v>13.705559999999934</v>
      </c>
      <c r="N2" s="1">
        <f>INT(-K2)</f>
        <v>72</v>
      </c>
      <c r="O2" s="4">
        <f>(-K2-N2)*60</f>
        <v>1.1980800000003455</v>
      </c>
    </row>
    <row r="3" spans="1:15" x14ac:dyDescent="0.25">
      <c r="A3" s="1" t="s">
        <v>3</v>
      </c>
      <c r="B3" s="1">
        <v>287.92553400000003</v>
      </c>
      <c r="C3" s="1">
        <v>301.583392</v>
      </c>
      <c r="D3" s="1">
        <v>2.6974399999999998</v>
      </c>
      <c r="E3" s="1">
        <v>2.6974399999999998</v>
      </c>
      <c r="F3" s="1">
        <v>11</v>
      </c>
      <c r="G3" s="1">
        <v>883</v>
      </c>
      <c r="H3" s="1">
        <v>883</v>
      </c>
      <c r="I3" s="1">
        <v>-28</v>
      </c>
      <c r="J3" s="1">
        <v>41.242263000000001</v>
      </c>
      <c r="K3" s="1">
        <v>-72.076848999999996</v>
      </c>
      <c r="L3" s="1">
        <f t="shared" ref="L3:L58" si="0">INT(J3)</f>
        <v>41</v>
      </c>
      <c r="M3" s="4">
        <f t="shared" ref="M3:M58" si="1">(J3-L3)*60</f>
        <v>14.535780000000074</v>
      </c>
      <c r="N3" s="1">
        <f t="shared" ref="N3:N58" si="2">INT(-K3)</f>
        <v>72</v>
      </c>
      <c r="O3" s="4">
        <f t="shared" ref="O3:O58" si="3">(-K3-N3)*60</f>
        <v>4.6109399999997436</v>
      </c>
    </row>
    <row r="4" spans="1:15" x14ac:dyDescent="0.25">
      <c r="A4" s="1" t="s">
        <v>17</v>
      </c>
      <c r="B4" s="1">
        <v>260.16222199999999</v>
      </c>
      <c r="C4" s="1">
        <v>273.80046599999997</v>
      </c>
      <c r="D4" s="1">
        <v>4.806063</v>
      </c>
      <c r="E4" s="1">
        <v>7.5035030000000003</v>
      </c>
      <c r="F4" s="1">
        <v>11</v>
      </c>
      <c r="G4" s="1">
        <v>1573</v>
      </c>
      <c r="H4" s="1">
        <v>2456</v>
      </c>
      <c r="I4" s="1">
        <v>-10</v>
      </c>
      <c r="J4" s="1">
        <v>41.228577000000001</v>
      </c>
      <c r="K4" s="1">
        <v>-72.181798999999998</v>
      </c>
      <c r="L4" s="1">
        <f t="shared" si="0"/>
        <v>41</v>
      </c>
      <c r="M4" s="4">
        <f t="shared" si="1"/>
        <v>13.714620000000082</v>
      </c>
      <c r="N4" s="1">
        <f t="shared" si="2"/>
        <v>72</v>
      </c>
      <c r="O4" s="4">
        <f t="shared" si="3"/>
        <v>10.907939999999883</v>
      </c>
    </row>
    <row r="5" spans="1:15" x14ac:dyDescent="0.25">
      <c r="A5" s="1" t="s">
        <v>18</v>
      </c>
      <c r="B5" s="1">
        <v>250.93286900000001</v>
      </c>
      <c r="C5" s="1">
        <v>264.52704599999998</v>
      </c>
      <c r="D5" s="1">
        <v>15.323084</v>
      </c>
      <c r="E5" s="1">
        <v>22.826587</v>
      </c>
      <c r="F5" s="1">
        <v>11</v>
      </c>
      <c r="G5" s="1">
        <v>5015</v>
      </c>
      <c r="H5" s="1">
        <v>7471</v>
      </c>
      <c r="I5" s="1">
        <v>5</v>
      </c>
      <c r="J5" s="1">
        <v>41.145149000000004</v>
      </c>
      <c r="K5" s="1">
        <v>-72.502533</v>
      </c>
      <c r="L5" s="1">
        <f t="shared" si="0"/>
        <v>41</v>
      </c>
      <c r="M5" s="4">
        <f t="shared" si="1"/>
        <v>8.7089400000002115</v>
      </c>
      <c r="N5" s="1">
        <f t="shared" si="2"/>
        <v>72</v>
      </c>
      <c r="O5" s="4">
        <f t="shared" si="3"/>
        <v>30.15197999999998</v>
      </c>
    </row>
    <row r="6" spans="1:15" x14ac:dyDescent="0.25">
      <c r="A6" s="1" t="s">
        <v>19</v>
      </c>
      <c r="B6" s="1">
        <v>256.70881700000001</v>
      </c>
      <c r="C6" s="1">
        <v>270.15810099999999</v>
      </c>
      <c r="D6" s="1">
        <v>27.740411999999999</v>
      </c>
      <c r="E6" s="1">
        <v>50.566997999999998</v>
      </c>
      <c r="F6" s="1">
        <v>11</v>
      </c>
      <c r="G6" s="1">
        <v>9079</v>
      </c>
      <c r="H6" s="1">
        <v>16550</v>
      </c>
      <c r="I6" s="1">
        <v>5</v>
      </c>
      <c r="J6" s="1">
        <v>41.038857</v>
      </c>
      <c r="K6" s="1">
        <v>-73.099564999999998</v>
      </c>
      <c r="L6" s="1">
        <f t="shared" si="0"/>
        <v>41</v>
      </c>
      <c r="M6" s="4">
        <f t="shared" si="1"/>
        <v>2.3314200000000085</v>
      </c>
      <c r="N6" s="1">
        <f t="shared" si="2"/>
        <v>73</v>
      </c>
      <c r="O6" s="4">
        <f t="shared" si="3"/>
        <v>5.973899999999901</v>
      </c>
    </row>
    <row r="7" spans="1:15" x14ac:dyDescent="0.25">
      <c r="A7" s="1" t="s">
        <v>20</v>
      </c>
      <c r="B7" s="1">
        <v>261.943421</v>
      </c>
      <c r="C7" s="1">
        <v>275.12379099999998</v>
      </c>
      <c r="D7" s="1">
        <v>13.559953999999999</v>
      </c>
      <c r="E7" s="1">
        <v>64.126953</v>
      </c>
      <c r="F7" s="1">
        <v>11</v>
      </c>
      <c r="G7" s="1">
        <v>4438</v>
      </c>
      <c r="H7" s="1">
        <v>20988</v>
      </c>
      <c r="I7" s="1">
        <v>-16</v>
      </c>
      <c r="J7" s="1">
        <v>41.007182999999998</v>
      </c>
      <c r="K7" s="1">
        <v>-73.396164999999996</v>
      </c>
      <c r="L7" s="1">
        <f t="shared" si="0"/>
        <v>41</v>
      </c>
      <c r="M7" s="4">
        <f t="shared" si="1"/>
        <v>0.43097999999986314</v>
      </c>
      <c r="N7" s="1">
        <f t="shared" si="2"/>
        <v>73</v>
      </c>
      <c r="O7" s="4">
        <f t="shared" si="3"/>
        <v>23.76989999999978</v>
      </c>
    </row>
    <row r="8" spans="1:15" x14ac:dyDescent="0.25">
      <c r="A8" s="1" t="s">
        <v>21</v>
      </c>
      <c r="B8" s="1">
        <v>246.65280899999999</v>
      </c>
      <c r="C8" s="1">
        <v>259.69944800000002</v>
      </c>
      <c r="D8" s="1">
        <v>7.1795280000000004</v>
      </c>
      <c r="E8" s="1">
        <v>71.306479999999993</v>
      </c>
      <c r="F8" s="1">
        <v>11</v>
      </c>
      <c r="G8" s="1">
        <v>2350</v>
      </c>
      <c r="H8" s="1">
        <v>23338</v>
      </c>
      <c r="I8" s="1">
        <v>-6</v>
      </c>
      <c r="J8" s="1">
        <v>40.959761999999998</v>
      </c>
      <c r="K8" s="1">
        <v>-73.541696000000002</v>
      </c>
      <c r="L8" s="1">
        <f t="shared" si="0"/>
        <v>40</v>
      </c>
      <c r="M8" s="4">
        <f t="shared" si="1"/>
        <v>57.585719999999867</v>
      </c>
      <c r="N8" s="1">
        <f t="shared" si="2"/>
        <v>73</v>
      </c>
      <c r="O8" s="4">
        <f t="shared" si="3"/>
        <v>32.501760000000104</v>
      </c>
    </row>
    <row r="9" spans="1:15" x14ac:dyDescent="0.25">
      <c r="A9" s="1" t="s">
        <v>22</v>
      </c>
      <c r="B9" s="1">
        <v>240.86551</v>
      </c>
      <c r="C9" s="1">
        <v>253.83945299999999</v>
      </c>
      <c r="D9" s="1">
        <v>5.248723</v>
      </c>
      <c r="E9" s="1">
        <v>76.555203000000006</v>
      </c>
      <c r="F9" s="1">
        <v>11</v>
      </c>
      <c r="G9" s="1">
        <v>1718</v>
      </c>
      <c r="H9" s="1">
        <v>25056</v>
      </c>
      <c r="I9" s="1">
        <v>-1</v>
      </c>
      <c r="J9" s="1">
        <v>40.917172000000001</v>
      </c>
      <c r="K9" s="1">
        <v>-73.642847000000003</v>
      </c>
      <c r="L9" s="1">
        <f t="shared" si="0"/>
        <v>40</v>
      </c>
      <c r="M9" s="4">
        <f t="shared" si="1"/>
        <v>55.030320000000046</v>
      </c>
      <c r="N9" s="1">
        <f t="shared" si="2"/>
        <v>73</v>
      </c>
      <c r="O9" s="4">
        <f t="shared" si="3"/>
        <v>38.570820000000197</v>
      </c>
    </row>
    <row r="10" spans="1:15" x14ac:dyDescent="0.25">
      <c r="A10" s="1" t="s">
        <v>23</v>
      </c>
      <c r="B10" s="1">
        <v>239.889813</v>
      </c>
      <c r="C10" s="1">
        <v>252.81102999999999</v>
      </c>
      <c r="D10" s="1">
        <v>3.9523619999999999</v>
      </c>
      <c r="E10" s="1">
        <v>80.507565999999997</v>
      </c>
      <c r="F10" s="1">
        <v>11</v>
      </c>
      <c r="G10" s="1">
        <v>1294</v>
      </c>
      <c r="H10" s="1">
        <v>26350</v>
      </c>
      <c r="I10" s="1">
        <v>-13</v>
      </c>
      <c r="J10" s="1">
        <v>40.884126000000002</v>
      </c>
      <c r="K10" s="1">
        <v>-73.718237999999999</v>
      </c>
      <c r="L10" s="1">
        <f t="shared" si="0"/>
        <v>40</v>
      </c>
      <c r="M10" s="4">
        <f t="shared" si="1"/>
        <v>53.047560000000118</v>
      </c>
      <c r="N10" s="1">
        <f t="shared" si="2"/>
        <v>73</v>
      </c>
      <c r="O10" s="4">
        <f t="shared" si="3"/>
        <v>43.094279999999969</v>
      </c>
    </row>
    <row r="11" spans="1:15" x14ac:dyDescent="0.25">
      <c r="A11" s="1" t="s">
        <v>24</v>
      </c>
      <c r="B11" s="1">
        <v>227.88508899999999</v>
      </c>
      <c r="C11" s="1">
        <v>240.76656800000001</v>
      </c>
      <c r="D11" s="1">
        <v>0.89648399999999995</v>
      </c>
      <c r="E11" s="1">
        <v>81.404049999999998</v>
      </c>
      <c r="F11" s="1">
        <v>11</v>
      </c>
      <c r="G11" s="1">
        <v>294</v>
      </c>
      <c r="H11" s="1">
        <v>26644</v>
      </c>
      <c r="I11" s="1">
        <v>-1</v>
      </c>
      <c r="J11" s="1">
        <v>40.874105999999998</v>
      </c>
      <c r="K11" s="1">
        <v>-73.732896999999994</v>
      </c>
      <c r="L11" s="1">
        <f t="shared" si="0"/>
        <v>40</v>
      </c>
      <c r="M11" s="4">
        <f t="shared" si="1"/>
        <v>52.446359999999856</v>
      </c>
      <c r="N11" s="1">
        <f t="shared" si="2"/>
        <v>73</v>
      </c>
      <c r="O11" s="4">
        <f t="shared" si="3"/>
        <v>43.973819999999648</v>
      </c>
    </row>
    <row r="12" spans="1:15" x14ac:dyDescent="0.25">
      <c r="A12" s="1" t="s">
        <v>25</v>
      </c>
      <c r="B12" s="1">
        <v>227.69055900000001</v>
      </c>
      <c r="C12" s="1">
        <v>240.563614</v>
      </c>
      <c r="D12" s="1">
        <v>0.372585</v>
      </c>
      <c r="E12" s="1">
        <v>81.776634999999999</v>
      </c>
      <c r="F12" s="1">
        <v>11</v>
      </c>
      <c r="G12" s="1">
        <v>122</v>
      </c>
      <c r="H12" s="1">
        <v>26766</v>
      </c>
      <c r="I12" s="1">
        <v>-11</v>
      </c>
      <c r="J12" s="1">
        <v>40.869926</v>
      </c>
      <c r="K12" s="1">
        <v>-73.738969999999995</v>
      </c>
      <c r="L12" s="1">
        <f t="shared" si="0"/>
        <v>40</v>
      </c>
      <c r="M12" s="4">
        <f t="shared" si="1"/>
        <v>52.195559999999972</v>
      </c>
      <c r="N12" s="1">
        <f t="shared" si="2"/>
        <v>73</v>
      </c>
      <c r="O12" s="4">
        <f t="shared" si="3"/>
        <v>44.338199999999688</v>
      </c>
    </row>
    <row r="13" spans="1:15" x14ac:dyDescent="0.25">
      <c r="A13" s="1" t="s">
        <v>26</v>
      </c>
      <c r="B13" s="1">
        <v>217.644713</v>
      </c>
      <c r="C13" s="1">
        <v>230.51427100000001</v>
      </c>
      <c r="D13" s="1">
        <v>0.75934599999999997</v>
      </c>
      <c r="E13" s="1">
        <v>82.535981000000007</v>
      </c>
      <c r="F13" s="1">
        <v>11</v>
      </c>
      <c r="G13" s="1">
        <v>249</v>
      </c>
      <c r="H13" s="1">
        <v>27015</v>
      </c>
      <c r="I13" s="1">
        <v>-13</v>
      </c>
      <c r="J13" s="1">
        <v>40.859904999999998</v>
      </c>
      <c r="K13" s="1">
        <v>-73.749190999999996</v>
      </c>
      <c r="L13" s="1">
        <f t="shared" si="0"/>
        <v>40</v>
      </c>
      <c r="M13" s="4">
        <f t="shared" si="1"/>
        <v>51.594299999999862</v>
      </c>
      <c r="N13" s="1">
        <f t="shared" si="2"/>
        <v>73</v>
      </c>
      <c r="O13" s="4">
        <f t="shared" si="3"/>
        <v>44.95145999999977</v>
      </c>
    </row>
    <row r="14" spans="1:15" x14ac:dyDescent="0.25">
      <c r="A14" s="1" t="s">
        <v>27</v>
      </c>
      <c r="B14" s="1">
        <v>205.64340999999999</v>
      </c>
      <c r="C14" s="1">
        <v>218.506516</v>
      </c>
      <c r="D14" s="1">
        <v>1.1072150000000001</v>
      </c>
      <c r="E14" s="1">
        <v>83.643196000000003</v>
      </c>
      <c r="F14" s="1">
        <v>11</v>
      </c>
      <c r="G14" s="1">
        <v>363</v>
      </c>
      <c r="H14" s="1">
        <v>27378</v>
      </c>
      <c r="I14" s="1">
        <v>17</v>
      </c>
      <c r="J14" s="1">
        <v>40.843268999999999</v>
      </c>
      <c r="K14" s="1">
        <v>-73.759748999999999</v>
      </c>
      <c r="L14" s="1">
        <f t="shared" si="0"/>
        <v>40</v>
      </c>
      <c r="M14" s="4">
        <f t="shared" si="1"/>
        <v>50.596139999999963</v>
      </c>
      <c r="N14" s="1">
        <f t="shared" si="2"/>
        <v>73</v>
      </c>
      <c r="O14" s="4">
        <f t="shared" si="3"/>
        <v>45.58493999999996</v>
      </c>
    </row>
    <row r="15" spans="1:15" x14ac:dyDescent="0.25">
      <c r="A15" s="1"/>
      <c r="B15" s="1">
        <v>223.411382</v>
      </c>
      <c r="C15" s="1">
        <v>236.26663600000001</v>
      </c>
      <c r="D15" s="1">
        <v>1.285836</v>
      </c>
      <c r="E15" s="1">
        <v>84.929032000000007</v>
      </c>
      <c r="F15" s="1">
        <v>11</v>
      </c>
      <c r="G15" s="1">
        <v>421</v>
      </c>
      <c r="H15" s="1">
        <v>27799</v>
      </c>
      <c r="I15" s="1">
        <v>-19</v>
      </c>
      <c r="J15" s="1">
        <v>40.827700999999998</v>
      </c>
      <c r="K15" s="1">
        <v>-73.779214999999994</v>
      </c>
      <c r="L15" s="1">
        <f t="shared" si="0"/>
        <v>40</v>
      </c>
      <c r="M15" s="4">
        <f t="shared" si="1"/>
        <v>49.662059999999855</v>
      </c>
      <c r="N15" s="1">
        <f t="shared" si="2"/>
        <v>73</v>
      </c>
      <c r="O15" s="4">
        <f t="shared" si="3"/>
        <v>46.752899999999613</v>
      </c>
    </row>
    <row r="16" spans="1:15" x14ac:dyDescent="0.25">
      <c r="A16" s="1" t="s">
        <v>28</v>
      </c>
      <c r="B16" s="1">
        <v>204.711354</v>
      </c>
      <c r="C16" s="1">
        <v>217.55497399999999</v>
      </c>
      <c r="D16" s="1">
        <v>0.186256</v>
      </c>
      <c r="E16" s="1">
        <v>85.115288000000007</v>
      </c>
      <c r="F16" s="1">
        <v>11</v>
      </c>
      <c r="G16" s="1">
        <v>61</v>
      </c>
      <c r="H16" s="1">
        <v>27860</v>
      </c>
      <c r="I16" s="1">
        <v>-18</v>
      </c>
      <c r="J16" s="1">
        <v>40.824880999999998</v>
      </c>
      <c r="K16" s="1">
        <v>-73.780929999999998</v>
      </c>
      <c r="L16" s="1">
        <f t="shared" si="0"/>
        <v>40</v>
      </c>
      <c r="M16" s="4">
        <f t="shared" si="1"/>
        <v>49.492859999999865</v>
      </c>
      <c r="N16" s="1">
        <f t="shared" si="2"/>
        <v>73</v>
      </c>
      <c r="O16" s="4">
        <f t="shared" si="3"/>
        <v>46.855799999999874</v>
      </c>
    </row>
    <row r="17" spans="1:15" x14ac:dyDescent="0.25">
      <c r="A17" s="1" t="s">
        <v>29</v>
      </c>
      <c r="B17" s="1">
        <v>187.46608499999999</v>
      </c>
      <c r="C17" s="1">
        <v>200.30840699999999</v>
      </c>
      <c r="D17" s="1">
        <v>1.3367329999999999</v>
      </c>
      <c r="E17" s="1">
        <v>86.452021000000002</v>
      </c>
      <c r="F17" s="1">
        <v>11</v>
      </c>
      <c r="G17" s="1">
        <v>438</v>
      </c>
      <c r="H17" s="1">
        <v>28298</v>
      </c>
      <c r="I17" s="1">
        <v>43</v>
      </c>
      <c r="J17" s="1">
        <v>40.802790999999999</v>
      </c>
      <c r="K17" s="1">
        <v>-73.784755000000004</v>
      </c>
      <c r="L17" s="1">
        <f t="shared" si="0"/>
        <v>40</v>
      </c>
      <c r="M17" s="4">
        <f t="shared" si="1"/>
        <v>48.167459999999949</v>
      </c>
      <c r="N17" s="1">
        <f t="shared" si="2"/>
        <v>73</v>
      </c>
      <c r="O17" s="4">
        <f t="shared" si="3"/>
        <v>47.085300000000245</v>
      </c>
    </row>
    <row r="18" spans="1:15" x14ac:dyDescent="0.25">
      <c r="A18" s="1" t="s">
        <v>30</v>
      </c>
      <c r="B18" s="1">
        <v>231.34108599999999</v>
      </c>
      <c r="C18" s="1">
        <v>244.177539</v>
      </c>
      <c r="D18" s="1">
        <v>0.14023099999999999</v>
      </c>
      <c r="E18" s="1">
        <v>86.592252000000002</v>
      </c>
      <c r="F18" s="1">
        <v>10</v>
      </c>
      <c r="G18" s="1">
        <v>51</v>
      </c>
      <c r="H18" s="1">
        <v>28349</v>
      </c>
      <c r="I18" s="1">
        <v>28</v>
      </c>
      <c r="J18" s="1">
        <v>40.801330999999998</v>
      </c>
      <c r="K18" s="1">
        <v>-73.787165999999999</v>
      </c>
      <c r="L18" s="1">
        <f t="shared" si="0"/>
        <v>40</v>
      </c>
      <c r="M18" s="4">
        <f t="shared" si="1"/>
        <v>48.079859999999854</v>
      </c>
      <c r="N18" s="1">
        <f t="shared" si="2"/>
        <v>73</v>
      </c>
      <c r="O18" s="4">
        <f t="shared" si="3"/>
        <v>47.229959999999949</v>
      </c>
    </row>
    <row r="19" spans="1:15" x14ac:dyDescent="0.25">
      <c r="A19" s="1" t="s">
        <v>31</v>
      </c>
      <c r="B19" s="1">
        <v>259.34517099999999</v>
      </c>
      <c r="C19" s="1">
        <v>272.180271</v>
      </c>
      <c r="D19" s="1">
        <v>0.29920200000000002</v>
      </c>
      <c r="E19" s="1">
        <v>86.891453999999996</v>
      </c>
      <c r="F19" s="1">
        <v>10</v>
      </c>
      <c r="G19" s="1">
        <v>108</v>
      </c>
      <c r="H19" s="1">
        <v>28457</v>
      </c>
      <c r="I19" s="1">
        <v>21</v>
      </c>
      <c r="J19" s="1">
        <v>40.800409000000002</v>
      </c>
      <c r="K19" s="1">
        <v>-73.793639999999996</v>
      </c>
      <c r="L19" s="1">
        <f t="shared" si="0"/>
        <v>40</v>
      </c>
      <c r="M19" s="4">
        <f t="shared" si="1"/>
        <v>48.024540000000115</v>
      </c>
      <c r="N19" s="1">
        <f t="shared" si="2"/>
        <v>73</v>
      </c>
      <c r="O19" s="4">
        <f t="shared" si="3"/>
        <v>47.618399999999781</v>
      </c>
    </row>
    <row r="20" spans="1:15" x14ac:dyDescent="0.25">
      <c r="A20" s="1" t="s">
        <v>32</v>
      </c>
      <c r="B20" s="1">
        <v>280.73977400000001</v>
      </c>
      <c r="C20" s="1">
        <v>293.57180299999999</v>
      </c>
      <c r="D20" s="1">
        <v>1.186485</v>
      </c>
      <c r="E20" s="1">
        <v>88.077939000000001</v>
      </c>
      <c r="F20" s="1">
        <v>10</v>
      </c>
      <c r="G20" s="1">
        <v>428</v>
      </c>
      <c r="H20" s="1">
        <v>28885</v>
      </c>
      <c r="I20" s="1">
        <v>-21</v>
      </c>
      <c r="J20" s="1">
        <v>40.804093999999999</v>
      </c>
      <c r="K20" s="1">
        <v>-73.819305999999997</v>
      </c>
      <c r="L20" s="1">
        <f t="shared" si="0"/>
        <v>40</v>
      </c>
      <c r="M20" s="4">
        <f t="shared" si="1"/>
        <v>48.245639999999952</v>
      </c>
      <c r="N20" s="1">
        <f t="shared" si="2"/>
        <v>73</v>
      </c>
      <c r="O20" s="4">
        <f t="shared" si="3"/>
        <v>49.158359999999846</v>
      </c>
    </row>
    <row r="21" spans="1:15" x14ac:dyDescent="0.25">
      <c r="A21" s="1" t="s">
        <v>33</v>
      </c>
      <c r="B21" s="1">
        <v>259.832492</v>
      </c>
      <c r="C21" s="1">
        <v>272.65371699999997</v>
      </c>
      <c r="D21" s="1">
        <v>0.50304000000000004</v>
      </c>
      <c r="E21" s="1">
        <v>88.580979999999997</v>
      </c>
      <c r="F21" s="1">
        <v>10</v>
      </c>
      <c r="G21" s="1">
        <v>182</v>
      </c>
      <c r="H21" s="1">
        <v>29067</v>
      </c>
      <c r="I21" s="1">
        <v>0</v>
      </c>
      <c r="J21" s="1">
        <v>40.802613999999998</v>
      </c>
      <c r="K21" s="1">
        <v>-73.830207999999999</v>
      </c>
      <c r="L21" s="1">
        <f t="shared" si="0"/>
        <v>40</v>
      </c>
      <c r="M21" s="4">
        <f t="shared" si="1"/>
        <v>48.156839999999903</v>
      </c>
      <c r="N21" s="1">
        <f t="shared" si="2"/>
        <v>73</v>
      </c>
      <c r="O21" s="4">
        <f t="shared" si="3"/>
        <v>49.812479999999937</v>
      </c>
    </row>
    <row r="22" spans="1:15" x14ac:dyDescent="0.25">
      <c r="A22" s="1" t="s">
        <v>34</v>
      </c>
      <c r="B22" s="1">
        <v>260.49830600000001</v>
      </c>
      <c r="C22" s="1">
        <v>273.31436200000002</v>
      </c>
      <c r="D22" s="1">
        <v>0.97627299999999995</v>
      </c>
      <c r="E22" s="1">
        <v>89.557253000000003</v>
      </c>
      <c r="F22" s="1">
        <v>10</v>
      </c>
      <c r="G22" s="1">
        <v>352</v>
      </c>
      <c r="H22" s="1">
        <v>29419</v>
      </c>
      <c r="I22" s="1">
        <v>-2</v>
      </c>
      <c r="J22" s="1">
        <v>40.799928000000001</v>
      </c>
      <c r="K22" s="1">
        <v>-73.851408000000006</v>
      </c>
      <c r="L22" s="1">
        <f t="shared" si="0"/>
        <v>40</v>
      </c>
      <c r="M22" s="4">
        <f t="shared" si="1"/>
        <v>47.995680000000078</v>
      </c>
      <c r="N22" s="1">
        <f t="shared" si="2"/>
        <v>73</v>
      </c>
      <c r="O22" s="4">
        <f t="shared" si="3"/>
        <v>51.084480000000383</v>
      </c>
    </row>
    <row r="23" spans="1:15" x14ac:dyDescent="0.25">
      <c r="A23" s="1" t="s">
        <v>35</v>
      </c>
      <c r="B23" s="1">
        <v>259.29616099999998</v>
      </c>
      <c r="C23" s="1">
        <v>272.102193</v>
      </c>
      <c r="D23" s="1">
        <v>0.84637899999999999</v>
      </c>
      <c r="E23" s="1">
        <v>90.403632000000002</v>
      </c>
      <c r="F23" s="1">
        <v>10</v>
      </c>
      <c r="G23" s="1">
        <v>305</v>
      </c>
      <c r="H23" s="1">
        <v>29724</v>
      </c>
      <c r="I23" s="1">
        <v>24</v>
      </c>
      <c r="J23" s="1">
        <v>40.797308000000001</v>
      </c>
      <c r="K23" s="1">
        <v>-73.869718000000006</v>
      </c>
      <c r="L23" s="1">
        <f t="shared" si="0"/>
        <v>40</v>
      </c>
      <c r="M23" s="4">
        <f t="shared" si="1"/>
        <v>47.838480000000061</v>
      </c>
      <c r="N23" s="1">
        <f t="shared" si="2"/>
        <v>73</v>
      </c>
      <c r="O23" s="4">
        <f t="shared" si="3"/>
        <v>52.183080000000359</v>
      </c>
    </row>
    <row r="24" spans="1:15" x14ac:dyDescent="0.25">
      <c r="A24" s="1" t="s">
        <v>36</v>
      </c>
      <c r="B24" s="1">
        <v>283.90648900000002</v>
      </c>
      <c r="C24" s="1">
        <v>296.70379400000002</v>
      </c>
      <c r="D24" s="1">
        <v>0.72897299999999998</v>
      </c>
      <c r="E24" s="1">
        <v>91.132604999999998</v>
      </c>
      <c r="F24" s="1">
        <v>10</v>
      </c>
      <c r="G24" s="1">
        <v>263</v>
      </c>
      <c r="H24" s="1">
        <v>29987</v>
      </c>
      <c r="I24" s="1">
        <v>12</v>
      </c>
      <c r="J24" s="1">
        <v>40.800227999999997</v>
      </c>
      <c r="K24" s="1">
        <v>-73.885296999999994</v>
      </c>
      <c r="L24" s="1">
        <f t="shared" si="0"/>
        <v>40</v>
      </c>
      <c r="M24" s="4">
        <f t="shared" si="1"/>
        <v>48.013679999999823</v>
      </c>
      <c r="N24" s="1">
        <f t="shared" si="2"/>
        <v>73</v>
      </c>
      <c r="O24" s="4">
        <f t="shared" si="3"/>
        <v>53.117819999999654</v>
      </c>
    </row>
    <row r="25" spans="1:15" x14ac:dyDescent="0.25">
      <c r="A25" s="1" t="s">
        <v>37</v>
      </c>
      <c r="B25" s="1">
        <v>296.87705399999999</v>
      </c>
      <c r="C25" s="1">
        <v>309.66789399999999</v>
      </c>
      <c r="D25" s="1">
        <v>0.49212800000000001</v>
      </c>
      <c r="E25" s="1">
        <v>91.624733000000006</v>
      </c>
      <c r="F25" s="1">
        <v>10</v>
      </c>
      <c r="G25" s="1">
        <v>178</v>
      </c>
      <c r="H25" s="1">
        <v>30165</v>
      </c>
      <c r="I25" s="1">
        <v>-24</v>
      </c>
      <c r="J25" s="1">
        <v>40.803936</v>
      </c>
      <c r="K25" s="1">
        <v>-73.894962000000007</v>
      </c>
      <c r="L25" s="1">
        <f t="shared" si="0"/>
        <v>40</v>
      </c>
      <c r="M25" s="4">
        <f t="shared" si="1"/>
        <v>48.236160000000012</v>
      </c>
      <c r="N25" s="1">
        <f t="shared" si="2"/>
        <v>73</v>
      </c>
      <c r="O25" s="4">
        <f t="shared" si="3"/>
        <v>53.697720000000402</v>
      </c>
    </row>
    <row r="26" spans="1:15" x14ac:dyDescent="0.25">
      <c r="A26" s="1" t="s">
        <v>38</v>
      </c>
      <c r="B26" s="1">
        <v>273.77150899999998</v>
      </c>
      <c r="C26" s="1">
        <v>286.55869200000001</v>
      </c>
      <c r="D26" s="1">
        <v>0.156892</v>
      </c>
      <c r="E26" s="1">
        <v>91.781625000000005</v>
      </c>
      <c r="F26" s="1">
        <v>10</v>
      </c>
      <c r="G26" s="1">
        <v>57</v>
      </c>
      <c r="H26" s="1">
        <v>30222</v>
      </c>
      <c r="I26" s="1">
        <v>-25</v>
      </c>
      <c r="J26" s="1">
        <v>40.804107999999999</v>
      </c>
      <c r="K26" s="1">
        <v>-73.898409000000001</v>
      </c>
      <c r="L26" s="1">
        <f t="shared" si="0"/>
        <v>40</v>
      </c>
      <c r="M26" s="4">
        <f t="shared" si="1"/>
        <v>48.246479999999963</v>
      </c>
      <c r="N26" s="1">
        <f t="shared" si="2"/>
        <v>73</v>
      </c>
      <c r="O26" s="4">
        <f t="shared" si="3"/>
        <v>53.904540000000054</v>
      </c>
    </row>
    <row r="27" spans="1:15" x14ac:dyDescent="0.25">
      <c r="A27" s="1" t="s">
        <v>39</v>
      </c>
      <c r="B27" s="1">
        <v>248.82019199999999</v>
      </c>
      <c r="C27" s="1">
        <v>261.60585400000002</v>
      </c>
      <c r="D27" s="1">
        <v>0.15693499999999999</v>
      </c>
      <c r="E27" s="1">
        <v>91.938559999999995</v>
      </c>
      <c r="F27" s="1">
        <v>10</v>
      </c>
      <c r="G27" s="1">
        <v>57</v>
      </c>
      <c r="H27" s="1">
        <v>30279</v>
      </c>
      <c r="I27" s="1">
        <v>-33</v>
      </c>
      <c r="J27" s="1">
        <v>40.803162999999998</v>
      </c>
      <c r="K27" s="1">
        <v>-73.901630999999995</v>
      </c>
      <c r="L27" s="1">
        <f t="shared" si="0"/>
        <v>40</v>
      </c>
      <c r="M27" s="4">
        <f t="shared" si="1"/>
        <v>48.189779999999871</v>
      </c>
      <c r="N27" s="1">
        <f t="shared" si="2"/>
        <v>73</v>
      </c>
      <c r="O27" s="4">
        <f t="shared" si="3"/>
        <v>54.097859999999685</v>
      </c>
    </row>
    <row r="28" spans="1:15" x14ac:dyDescent="0.25">
      <c r="A28" s="1" t="s">
        <v>40</v>
      </c>
      <c r="B28" s="1">
        <v>216.676715</v>
      </c>
      <c r="C28" s="1">
        <v>229.460746</v>
      </c>
      <c r="D28" s="1">
        <v>0.79359800000000003</v>
      </c>
      <c r="E28" s="1">
        <v>92.732157999999998</v>
      </c>
      <c r="F28" s="1">
        <v>10</v>
      </c>
      <c r="G28" s="1">
        <v>286</v>
      </c>
      <c r="H28" s="1">
        <v>30565</v>
      </c>
      <c r="I28" s="1">
        <v>0</v>
      </c>
      <c r="J28" s="1">
        <v>40.792555</v>
      </c>
      <c r="K28" s="1">
        <v>-73.912066999999993</v>
      </c>
      <c r="L28" s="1">
        <f t="shared" si="0"/>
        <v>40</v>
      </c>
      <c r="M28" s="4">
        <f t="shared" si="1"/>
        <v>47.553300000000007</v>
      </c>
      <c r="N28" s="1">
        <f t="shared" si="2"/>
        <v>73</v>
      </c>
      <c r="O28" s="4">
        <f t="shared" si="3"/>
        <v>54.724019999999598</v>
      </c>
    </row>
    <row r="29" spans="1:15" x14ac:dyDescent="0.25">
      <c r="A29" s="1" t="s">
        <v>41</v>
      </c>
      <c r="B29" s="1">
        <v>217.089361</v>
      </c>
      <c r="C29" s="1">
        <v>229.86669000000001</v>
      </c>
      <c r="D29" s="1">
        <v>0.75276799999999999</v>
      </c>
      <c r="E29" s="1">
        <v>93.484926000000002</v>
      </c>
      <c r="F29" s="1">
        <v>10</v>
      </c>
      <c r="G29" s="1">
        <v>271</v>
      </c>
      <c r="H29" s="1">
        <v>30836</v>
      </c>
      <c r="I29" s="1">
        <v>13</v>
      </c>
      <c r="J29" s="1">
        <v>40.782547000000001</v>
      </c>
      <c r="K29" s="1">
        <v>-73.922060000000002</v>
      </c>
      <c r="L29" s="1">
        <f t="shared" si="0"/>
        <v>40</v>
      </c>
      <c r="M29" s="4">
        <f t="shared" si="1"/>
        <v>46.95282000000006</v>
      </c>
      <c r="N29" s="1">
        <f t="shared" si="2"/>
        <v>73</v>
      </c>
      <c r="O29" s="4">
        <f t="shared" si="3"/>
        <v>55.323600000000113</v>
      </c>
    </row>
    <row r="30" spans="1:15" x14ac:dyDescent="0.25">
      <c r="A30" s="1" t="s">
        <v>42</v>
      </c>
      <c r="B30" s="1">
        <v>230.65029799999999</v>
      </c>
      <c r="C30" s="1">
        <v>243.42123599999999</v>
      </c>
      <c r="D30" s="1">
        <v>0.27366800000000002</v>
      </c>
      <c r="E30" s="1">
        <v>93.758594000000002</v>
      </c>
      <c r="F30" s="1">
        <v>10</v>
      </c>
      <c r="G30" s="1">
        <v>99</v>
      </c>
      <c r="H30" s="1">
        <v>30935</v>
      </c>
      <c r="I30" s="1">
        <v>36</v>
      </c>
      <c r="J30" s="1">
        <v>40.779654999999998</v>
      </c>
      <c r="K30" s="1">
        <v>-73.926717999999994</v>
      </c>
      <c r="L30" s="1">
        <f t="shared" si="0"/>
        <v>40</v>
      </c>
      <c r="M30" s="4">
        <f t="shared" si="1"/>
        <v>46.779299999999893</v>
      </c>
      <c r="N30" s="1">
        <f t="shared" si="2"/>
        <v>73</v>
      </c>
      <c r="O30" s="4">
        <f t="shared" si="3"/>
        <v>55.603079999999636</v>
      </c>
    </row>
    <row r="31" spans="1:15" x14ac:dyDescent="0.25">
      <c r="A31" s="1" t="s">
        <v>43</v>
      </c>
      <c r="B31" s="1">
        <v>266.953214</v>
      </c>
      <c r="C31" s="1">
        <v>279.72150499999998</v>
      </c>
      <c r="D31" s="1">
        <v>0.37026300000000001</v>
      </c>
      <c r="E31" s="1">
        <v>94.128856999999996</v>
      </c>
      <c r="F31" s="1">
        <v>10</v>
      </c>
      <c r="G31" s="1">
        <v>134</v>
      </c>
      <c r="H31" s="1">
        <v>31069</v>
      </c>
      <c r="I31" s="1">
        <v>-34</v>
      </c>
      <c r="J31" s="1">
        <v>40.779327000000002</v>
      </c>
      <c r="K31" s="1">
        <v>-73.934855999999996</v>
      </c>
      <c r="L31" s="1">
        <f t="shared" si="0"/>
        <v>40</v>
      </c>
      <c r="M31" s="4">
        <f t="shared" si="1"/>
        <v>46.759620000000126</v>
      </c>
      <c r="N31" s="1">
        <f t="shared" si="2"/>
        <v>73</v>
      </c>
      <c r="O31" s="4">
        <f t="shared" si="3"/>
        <v>56.091359999999781</v>
      </c>
    </row>
    <row r="32" spans="1:15" x14ac:dyDescent="0.25">
      <c r="A32" s="1" t="s">
        <v>44</v>
      </c>
      <c r="B32" s="1">
        <v>233.835499</v>
      </c>
      <c r="C32" s="1">
        <v>246.60005100000001</v>
      </c>
      <c r="D32" s="1">
        <v>0.188305</v>
      </c>
      <c r="E32" s="1">
        <v>94.317162999999994</v>
      </c>
      <c r="F32" s="1">
        <v>10</v>
      </c>
      <c r="G32" s="1">
        <v>68</v>
      </c>
      <c r="H32" s="1">
        <v>31137</v>
      </c>
      <c r="I32" s="1">
        <v>-16</v>
      </c>
      <c r="J32" s="1">
        <v>40.777475000000003</v>
      </c>
      <c r="K32" s="1">
        <v>-73.938202000000004</v>
      </c>
      <c r="L32" s="1">
        <f t="shared" si="0"/>
        <v>40</v>
      </c>
      <c r="M32" s="4">
        <f t="shared" si="1"/>
        <v>46.648500000000155</v>
      </c>
      <c r="N32" s="1">
        <f t="shared" si="2"/>
        <v>73</v>
      </c>
      <c r="O32" s="4">
        <f t="shared" si="3"/>
        <v>56.292120000000239</v>
      </c>
    </row>
    <row r="33" spans="1:15" x14ac:dyDescent="0.25">
      <c r="A33" s="1" t="s">
        <v>45</v>
      </c>
      <c r="B33" s="1">
        <v>218.644667</v>
      </c>
      <c r="C33" s="1">
        <v>231.40735900000001</v>
      </c>
      <c r="D33" s="1">
        <v>0.323264</v>
      </c>
      <c r="E33" s="1">
        <v>94.640426000000005</v>
      </c>
      <c r="F33" s="1">
        <v>10</v>
      </c>
      <c r="G33" s="1">
        <v>117</v>
      </c>
      <c r="H33" s="1">
        <v>31254</v>
      </c>
      <c r="I33" s="1">
        <v>-4</v>
      </c>
      <c r="J33" s="1">
        <v>40.773266999999997</v>
      </c>
      <c r="K33" s="1">
        <v>-73.942644999999999</v>
      </c>
      <c r="L33" s="1">
        <f t="shared" si="0"/>
        <v>40</v>
      </c>
      <c r="M33" s="4">
        <f t="shared" si="1"/>
        <v>46.396019999999822</v>
      </c>
      <c r="N33" s="1">
        <f t="shared" si="2"/>
        <v>73</v>
      </c>
      <c r="O33" s="4">
        <f t="shared" si="3"/>
        <v>56.558699999999931</v>
      </c>
    </row>
    <row r="34" spans="1:15" x14ac:dyDescent="0.25">
      <c r="A34" s="1" t="s">
        <v>46</v>
      </c>
      <c r="B34" s="1">
        <v>215.454376</v>
      </c>
      <c r="C34" s="1">
        <v>228.214269</v>
      </c>
      <c r="D34" s="1">
        <v>1.1269640000000001</v>
      </c>
      <c r="E34" s="1">
        <v>95.767391000000003</v>
      </c>
      <c r="F34" s="1">
        <v>8</v>
      </c>
      <c r="G34" s="1">
        <v>508</v>
      </c>
      <c r="H34" s="1">
        <v>31762</v>
      </c>
      <c r="I34" s="1">
        <v>-5</v>
      </c>
      <c r="J34" s="1">
        <v>40.757967000000001</v>
      </c>
      <c r="K34" s="1">
        <v>-73.957030000000003</v>
      </c>
      <c r="L34" s="1">
        <f t="shared" si="0"/>
        <v>40</v>
      </c>
      <c r="M34" s="4">
        <f t="shared" si="1"/>
        <v>45.478020000000043</v>
      </c>
      <c r="N34" s="1">
        <f t="shared" si="2"/>
        <v>73</v>
      </c>
      <c r="O34" s="4">
        <f t="shared" si="3"/>
        <v>57.421800000000189</v>
      </c>
    </row>
    <row r="35" spans="1:15" x14ac:dyDescent="0.25">
      <c r="A35" s="1" t="s">
        <v>47</v>
      </c>
      <c r="B35" s="1">
        <v>211.41863699999999</v>
      </c>
      <c r="C35" s="1">
        <v>224.16915299999999</v>
      </c>
      <c r="D35" s="1">
        <v>0.65759599999999996</v>
      </c>
      <c r="E35" s="1">
        <v>96.424987000000002</v>
      </c>
      <c r="F35" s="1">
        <v>8</v>
      </c>
      <c r="G35" s="1">
        <v>296</v>
      </c>
      <c r="H35" s="1">
        <v>32058</v>
      </c>
      <c r="I35" s="1">
        <v>-1</v>
      </c>
      <c r="J35" s="1">
        <v>40.748614000000003</v>
      </c>
      <c r="K35" s="1">
        <v>-73.964572000000004</v>
      </c>
      <c r="L35" s="1">
        <f t="shared" si="0"/>
        <v>40</v>
      </c>
      <c r="M35" s="4">
        <f t="shared" si="1"/>
        <v>44.916840000000207</v>
      </c>
      <c r="N35" s="1">
        <f t="shared" si="2"/>
        <v>73</v>
      </c>
      <c r="O35" s="4">
        <f t="shared" si="3"/>
        <v>57.874320000000239</v>
      </c>
    </row>
    <row r="36" spans="1:15" x14ac:dyDescent="0.25">
      <c r="A36" s="1" t="s">
        <v>48</v>
      </c>
      <c r="B36" s="1">
        <v>211.26453900000001</v>
      </c>
      <c r="C36" s="1">
        <v>224.00988599999999</v>
      </c>
      <c r="D36" s="1">
        <v>0.31601099999999999</v>
      </c>
      <c r="E36" s="1">
        <v>96.740998000000005</v>
      </c>
      <c r="F36" s="1">
        <v>8</v>
      </c>
      <c r="G36" s="1">
        <v>143</v>
      </c>
      <c r="H36" s="1">
        <v>32201</v>
      </c>
      <c r="I36" s="1">
        <v>-17</v>
      </c>
      <c r="J36" s="1">
        <v>40.744112000000001</v>
      </c>
      <c r="K36" s="1">
        <v>-73.968180000000004</v>
      </c>
      <c r="L36" s="1">
        <f t="shared" si="0"/>
        <v>40</v>
      </c>
      <c r="M36" s="4">
        <f t="shared" si="1"/>
        <v>44.646720000000073</v>
      </c>
      <c r="N36" s="1">
        <f t="shared" si="2"/>
        <v>73</v>
      </c>
      <c r="O36" s="4">
        <f t="shared" si="3"/>
        <v>58.090800000000229</v>
      </c>
    </row>
    <row r="37" spans="1:15" x14ac:dyDescent="0.25">
      <c r="A37" s="1" t="s">
        <v>49</v>
      </c>
      <c r="B37" s="1">
        <v>194.32534999999999</v>
      </c>
      <c r="C37" s="1">
        <v>207.06822</v>
      </c>
      <c r="D37" s="1">
        <v>0.30002899999999999</v>
      </c>
      <c r="E37" s="1">
        <v>97.041027</v>
      </c>
      <c r="F37" s="1">
        <v>8</v>
      </c>
      <c r="G37" s="1">
        <v>136</v>
      </c>
      <c r="H37" s="1">
        <v>32337</v>
      </c>
      <c r="I37" s="1">
        <v>-34</v>
      </c>
      <c r="J37" s="1">
        <v>40.739266999999998</v>
      </c>
      <c r="K37" s="1">
        <v>-73.969813000000002</v>
      </c>
      <c r="L37" s="1">
        <f t="shared" si="0"/>
        <v>40</v>
      </c>
      <c r="M37" s="4">
        <f t="shared" si="1"/>
        <v>44.356019999999887</v>
      </c>
      <c r="N37" s="1">
        <f t="shared" si="2"/>
        <v>73</v>
      </c>
      <c r="O37" s="4">
        <f t="shared" si="3"/>
        <v>58.188780000000122</v>
      </c>
    </row>
    <row r="38" spans="1:15" x14ac:dyDescent="0.25">
      <c r="A38" s="1" t="s">
        <v>50</v>
      </c>
      <c r="B38" s="1">
        <v>160.47926000000001</v>
      </c>
      <c r="C38" s="1">
        <v>173.220482</v>
      </c>
      <c r="D38" s="1">
        <v>0.58750999999999998</v>
      </c>
      <c r="E38" s="1">
        <v>97.628535999999997</v>
      </c>
      <c r="F38" s="1">
        <v>8</v>
      </c>
      <c r="G38" s="1">
        <v>265</v>
      </c>
      <c r="H38" s="1">
        <v>32602</v>
      </c>
      <c r="I38" s="1">
        <v>24</v>
      </c>
      <c r="J38" s="1">
        <v>40.730038</v>
      </c>
      <c r="K38" s="1">
        <v>-73.965495000000004</v>
      </c>
      <c r="L38" s="1">
        <f t="shared" si="0"/>
        <v>40</v>
      </c>
      <c r="M38" s="4">
        <f t="shared" si="1"/>
        <v>43.802280000000025</v>
      </c>
      <c r="N38" s="1">
        <f t="shared" si="2"/>
        <v>73</v>
      </c>
      <c r="O38" s="4">
        <f t="shared" si="3"/>
        <v>57.929700000000253</v>
      </c>
    </row>
    <row r="39" spans="1:15" x14ac:dyDescent="0.25">
      <c r="A39" s="1" t="s">
        <v>51</v>
      </c>
      <c r="B39" s="1">
        <v>184.78488400000001</v>
      </c>
      <c r="C39" s="1">
        <v>197.52633399999999</v>
      </c>
      <c r="D39" s="1">
        <v>0.42845299999999997</v>
      </c>
      <c r="E39" s="1">
        <v>98.056989999999999</v>
      </c>
      <c r="F39" s="1">
        <v>8</v>
      </c>
      <c r="G39" s="1">
        <v>193</v>
      </c>
      <c r="H39" s="1">
        <v>32795</v>
      </c>
      <c r="I39" s="1">
        <v>21</v>
      </c>
      <c r="J39" s="1">
        <v>40.722921999999997</v>
      </c>
      <c r="K39" s="1">
        <v>-73.966280999999995</v>
      </c>
      <c r="L39" s="1">
        <f t="shared" si="0"/>
        <v>40</v>
      </c>
      <c r="M39" s="4">
        <f t="shared" si="1"/>
        <v>43.375319999999817</v>
      </c>
      <c r="N39" s="1">
        <f t="shared" si="2"/>
        <v>73</v>
      </c>
      <c r="O39" s="4">
        <f t="shared" si="3"/>
        <v>57.976859999999704</v>
      </c>
    </row>
    <row r="40" spans="1:15" x14ac:dyDescent="0.25">
      <c r="A40" s="1" t="s">
        <v>52</v>
      </c>
      <c r="B40" s="1">
        <v>205.99654699999999</v>
      </c>
      <c r="C40" s="1">
        <v>218.73631</v>
      </c>
      <c r="D40" s="1">
        <v>0.62001300000000004</v>
      </c>
      <c r="E40" s="1">
        <v>98.677002000000002</v>
      </c>
      <c r="F40" s="1">
        <v>8</v>
      </c>
      <c r="G40" s="1">
        <v>280</v>
      </c>
      <c r="H40" s="1">
        <v>33075</v>
      </c>
      <c r="I40" s="1">
        <v>2</v>
      </c>
      <c r="J40" s="1">
        <v>40.713633999999999</v>
      </c>
      <c r="K40" s="1">
        <v>-73.972256999999999</v>
      </c>
      <c r="L40" s="1">
        <f t="shared" si="0"/>
        <v>40</v>
      </c>
      <c r="M40" s="4">
        <f t="shared" si="1"/>
        <v>42.818039999999939</v>
      </c>
      <c r="N40" s="1">
        <f t="shared" si="2"/>
        <v>73</v>
      </c>
      <c r="O40" s="4">
        <f t="shared" si="3"/>
        <v>58.335419999999942</v>
      </c>
    </row>
    <row r="41" spans="1:15" x14ac:dyDescent="0.25">
      <c r="A41" s="1" t="s">
        <v>53</v>
      </c>
      <c r="B41" s="1">
        <v>208.04926599999999</v>
      </c>
      <c r="C41" s="1">
        <v>220.784584</v>
      </c>
      <c r="D41" s="1">
        <v>0.200013</v>
      </c>
      <c r="E41" s="1">
        <v>98.877015</v>
      </c>
      <c r="F41" s="1">
        <v>8</v>
      </c>
      <c r="G41" s="1">
        <v>91</v>
      </c>
      <c r="H41" s="1">
        <v>33166</v>
      </c>
      <c r="I41" s="1">
        <v>26</v>
      </c>
      <c r="J41" s="1">
        <v>40.710692000000002</v>
      </c>
      <c r="K41" s="1">
        <v>-73.974324999999993</v>
      </c>
      <c r="L41" s="1">
        <f t="shared" si="0"/>
        <v>40</v>
      </c>
      <c r="M41" s="4">
        <f t="shared" si="1"/>
        <v>42.641520000000099</v>
      </c>
      <c r="N41" s="1">
        <f t="shared" si="2"/>
        <v>73</v>
      </c>
      <c r="O41" s="4">
        <f t="shared" si="3"/>
        <v>58.459499999999593</v>
      </c>
    </row>
    <row r="42" spans="1:15" x14ac:dyDescent="0.25">
      <c r="A42" s="1" t="s">
        <v>54</v>
      </c>
      <c r="B42" s="1">
        <v>234.70721499999999</v>
      </c>
      <c r="C42" s="1">
        <v>247.441047</v>
      </c>
      <c r="D42" s="1">
        <v>0.25827600000000001</v>
      </c>
      <c r="E42" s="1">
        <v>99.135290999999995</v>
      </c>
      <c r="F42" s="1">
        <v>8</v>
      </c>
      <c r="G42" s="1">
        <v>117</v>
      </c>
      <c r="H42" s="1">
        <v>33283</v>
      </c>
      <c r="I42" s="1">
        <v>28</v>
      </c>
      <c r="J42" s="1">
        <v>40.708205</v>
      </c>
      <c r="K42" s="1">
        <v>-73.978960000000001</v>
      </c>
      <c r="L42" s="1">
        <f t="shared" si="0"/>
        <v>40</v>
      </c>
      <c r="M42" s="4">
        <f t="shared" si="1"/>
        <v>42.492299999999972</v>
      </c>
      <c r="N42" s="1">
        <f t="shared" si="2"/>
        <v>73</v>
      </c>
      <c r="O42" s="4">
        <f t="shared" si="3"/>
        <v>58.737600000000043</v>
      </c>
    </row>
    <row r="43" spans="1:15" x14ac:dyDescent="0.25">
      <c r="A43" s="1" t="s">
        <v>55</v>
      </c>
      <c r="B43" s="1">
        <v>263.02996400000001</v>
      </c>
      <c r="C43" s="1">
        <v>275.76123000000001</v>
      </c>
      <c r="D43" s="1">
        <v>0.53102499999999997</v>
      </c>
      <c r="E43" s="1">
        <v>99.666314999999997</v>
      </c>
      <c r="F43" s="1">
        <v>8</v>
      </c>
      <c r="G43" s="1">
        <v>239</v>
      </c>
      <c r="H43" s="1">
        <v>33522</v>
      </c>
      <c r="I43" s="1">
        <v>-9</v>
      </c>
      <c r="J43" s="1">
        <v>40.707130999999997</v>
      </c>
      <c r="K43" s="1">
        <v>-73.990549000000001</v>
      </c>
      <c r="L43" s="1">
        <f t="shared" si="0"/>
        <v>40</v>
      </c>
      <c r="M43" s="4">
        <f t="shared" si="1"/>
        <v>42.427859999999811</v>
      </c>
      <c r="N43" s="1">
        <f t="shared" si="2"/>
        <v>73</v>
      </c>
      <c r="O43" s="4">
        <f t="shared" si="3"/>
        <v>59.432940000000087</v>
      </c>
    </row>
    <row r="44" spans="1:15" x14ac:dyDescent="0.25">
      <c r="A44" s="1" t="s">
        <v>56</v>
      </c>
      <c r="B44" s="1">
        <v>254.37705600000001</v>
      </c>
      <c r="C44" s="1">
        <v>267.10286500000001</v>
      </c>
      <c r="D44" s="1">
        <v>0.28695999999999999</v>
      </c>
      <c r="E44" s="1">
        <v>99.953276000000002</v>
      </c>
      <c r="F44" s="1">
        <v>8</v>
      </c>
      <c r="G44" s="1">
        <v>130</v>
      </c>
      <c r="H44" s="1">
        <v>33652</v>
      </c>
      <c r="I44" s="1">
        <v>-34</v>
      </c>
      <c r="J44" s="1">
        <v>40.705843000000002</v>
      </c>
      <c r="K44" s="1">
        <v>-73.996624999999995</v>
      </c>
      <c r="L44" s="1">
        <f t="shared" si="0"/>
        <v>40</v>
      </c>
      <c r="M44" s="4">
        <f t="shared" si="1"/>
        <v>42.350580000000093</v>
      </c>
      <c r="N44" s="1">
        <f t="shared" si="2"/>
        <v>73</v>
      </c>
      <c r="O44" s="4">
        <f t="shared" si="3"/>
        <v>59.797499999999673</v>
      </c>
    </row>
    <row r="45" spans="1:15" x14ac:dyDescent="0.25">
      <c r="A45" s="1" t="s">
        <v>57</v>
      </c>
      <c r="B45" s="1">
        <v>220.752635</v>
      </c>
      <c r="C45" s="1">
        <v>233.475447</v>
      </c>
      <c r="D45" s="1">
        <v>0.37194300000000002</v>
      </c>
      <c r="E45" s="1">
        <v>100.325219</v>
      </c>
      <c r="F45" s="1">
        <v>8</v>
      </c>
      <c r="G45" s="1">
        <v>168</v>
      </c>
      <c r="H45" s="1">
        <v>33820</v>
      </c>
      <c r="I45" s="1">
        <v>-16</v>
      </c>
      <c r="J45" s="1">
        <v>40.701146999999999</v>
      </c>
      <c r="K45" s="1">
        <v>-74.001963000000003</v>
      </c>
      <c r="L45" s="1">
        <f t="shared" si="0"/>
        <v>40</v>
      </c>
      <c r="M45" s="4">
        <f t="shared" si="1"/>
        <v>42.068819999999931</v>
      </c>
      <c r="N45" s="1">
        <f t="shared" si="2"/>
        <v>74</v>
      </c>
      <c r="O45" s="4">
        <f t="shared" si="3"/>
        <v>0.11778000000020938</v>
      </c>
    </row>
    <row r="46" spans="1:15" x14ac:dyDescent="0.25">
      <c r="A46" s="1" t="s">
        <v>58</v>
      </c>
      <c r="B46" s="1">
        <v>204.88251199999999</v>
      </c>
      <c r="C46" s="1">
        <v>217.602024</v>
      </c>
      <c r="D46" s="1">
        <v>0.87489399999999995</v>
      </c>
      <c r="E46" s="1">
        <v>101.200113</v>
      </c>
      <c r="F46" s="1">
        <v>8</v>
      </c>
      <c r="G46" s="1">
        <v>394</v>
      </c>
      <c r="H46" s="1">
        <v>34214</v>
      </c>
      <c r="I46" s="1">
        <v>24</v>
      </c>
      <c r="J46" s="1">
        <v>40.687919000000001</v>
      </c>
      <c r="K46" s="1">
        <v>-74.010054999999994</v>
      </c>
      <c r="L46" s="1">
        <f t="shared" si="0"/>
        <v>40</v>
      </c>
      <c r="M46" s="4">
        <f t="shared" si="1"/>
        <v>41.27514000000005</v>
      </c>
      <c r="N46" s="1">
        <f t="shared" si="2"/>
        <v>74</v>
      </c>
      <c r="O46" s="4">
        <f t="shared" si="3"/>
        <v>0.60329999999964912</v>
      </c>
    </row>
    <row r="47" spans="1:15" x14ac:dyDescent="0.25">
      <c r="A47" s="1" t="s">
        <v>59</v>
      </c>
      <c r="B47" s="1">
        <v>228.91724199999999</v>
      </c>
      <c r="C47" s="1">
        <v>241.630608</v>
      </c>
      <c r="D47" s="1">
        <v>0.58689899999999995</v>
      </c>
      <c r="E47" s="1">
        <v>101.787013</v>
      </c>
      <c r="F47" s="1">
        <v>8</v>
      </c>
      <c r="G47" s="1">
        <v>265</v>
      </c>
      <c r="H47" s="1">
        <v>34479</v>
      </c>
      <c r="I47" s="1">
        <v>16</v>
      </c>
      <c r="J47" s="1">
        <v>40.681491000000001</v>
      </c>
      <c r="K47" s="1">
        <v>-74.019778000000002</v>
      </c>
      <c r="L47" s="1">
        <f t="shared" si="0"/>
        <v>40</v>
      </c>
      <c r="M47" s="4">
        <f t="shared" si="1"/>
        <v>40.889460000000071</v>
      </c>
      <c r="N47" s="1">
        <f t="shared" si="2"/>
        <v>74</v>
      </c>
      <c r="O47" s="4">
        <f t="shared" si="3"/>
        <v>1.1866800000001376</v>
      </c>
    </row>
    <row r="48" spans="1:15" x14ac:dyDescent="0.25">
      <c r="A48" s="1" t="s">
        <v>60</v>
      </c>
      <c r="B48" s="1">
        <v>245.71106</v>
      </c>
      <c r="C48" s="1">
        <v>258.41880900000001</v>
      </c>
      <c r="D48" s="1">
        <v>0.409298</v>
      </c>
      <c r="E48" s="1">
        <v>102.19631099999999</v>
      </c>
      <c r="F48" s="1">
        <v>8</v>
      </c>
      <c r="G48" s="1">
        <v>185</v>
      </c>
      <c r="H48" s="1">
        <v>34664</v>
      </c>
      <c r="I48" s="1">
        <v>-2</v>
      </c>
      <c r="J48" s="1">
        <v>40.678685000000002</v>
      </c>
      <c r="K48" s="1">
        <v>-74.027977000000007</v>
      </c>
      <c r="L48" s="1">
        <f t="shared" si="0"/>
        <v>40</v>
      </c>
      <c r="M48" s="4">
        <f t="shared" si="1"/>
        <v>40.721100000000092</v>
      </c>
      <c r="N48" s="1">
        <f t="shared" si="2"/>
        <v>74</v>
      </c>
      <c r="O48" s="4">
        <f t="shared" si="3"/>
        <v>1.6786200000004214</v>
      </c>
    </row>
    <row r="49" spans="1:15" x14ac:dyDescent="0.25">
      <c r="A49" s="1" t="s">
        <v>61</v>
      </c>
      <c r="B49" s="1">
        <v>244.39623800000001</v>
      </c>
      <c r="C49" s="1">
        <v>257.09973600000001</v>
      </c>
      <c r="D49" s="1">
        <v>0.75335799999999997</v>
      </c>
      <c r="E49" s="1">
        <v>102.949669</v>
      </c>
      <c r="F49" s="1">
        <v>8</v>
      </c>
      <c r="G49" s="1">
        <v>340</v>
      </c>
      <c r="H49" s="1">
        <v>35004</v>
      </c>
      <c r="I49" s="1">
        <v>-38</v>
      </c>
      <c r="J49" s="1">
        <v>40.673259000000002</v>
      </c>
      <c r="K49" s="1">
        <v>-74.042907</v>
      </c>
      <c r="L49" s="1">
        <f t="shared" si="0"/>
        <v>40</v>
      </c>
      <c r="M49" s="4">
        <f t="shared" si="1"/>
        <v>40.395540000000096</v>
      </c>
      <c r="N49" s="1">
        <f t="shared" si="2"/>
        <v>74</v>
      </c>
      <c r="O49" s="4">
        <f t="shared" si="3"/>
        <v>2.5744199999999751</v>
      </c>
    </row>
    <row r="50" spans="1:15" x14ac:dyDescent="0.25">
      <c r="A50" s="1" t="s">
        <v>62</v>
      </c>
      <c r="B50" s="1">
        <v>206.94699</v>
      </c>
      <c r="C50" s="1">
        <v>219.64268200000001</v>
      </c>
      <c r="D50" s="1">
        <v>1.2126189999999999</v>
      </c>
      <c r="E50" s="1">
        <v>104.162288</v>
      </c>
      <c r="F50" s="1">
        <v>8</v>
      </c>
      <c r="G50" s="1">
        <v>546</v>
      </c>
      <c r="H50" s="1">
        <v>35550</v>
      </c>
      <c r="I50" s="1">
        <v>-18</v>
      </c>
      <c r="J50" s="1">
        <v>40.655242999999999</v>
      </c>
      <c r="K50" s="1">
        <v>-74.054980999999998</v>
      </c>
      <c r="L50" s="1">
        <f t="shared" si="0"/>
        <v>40</v>
      </c>
      <c r="M50" s="4">
        <f t="shared" si="1"/>
        <v>39.314579999999921</v>
      </c>
      <c r="N50" s="1">
        <f t="shared" si="2"/>
        <v>74</v>
      </c>
      <c r="O50" s="4">
        <f t="shared" si="3"/>
        <v>3.2988599999998769</v>
      </c>
    </row>
    <row r="51" spans="1:15" x14ac:dyDescent="0.25">
      <c r="A51" s="1" t="s">
        <v>63</v>
      </c>
      <c r="B51" s="1">
        <v>189.85919200000001</v>
      </c>
      <c r="C51" s="1">
        <v>202.54602800000001</v>
      </c>
      <c r="D51" s="1">
        <v>0.64949199999999996</v>
      </c>
      <c r="E51" s="1">
        <v>104.81178</v>
      </c>
      <c r="F51" s="1">
        <v>8</v>
      </c>
      <c r="G51" s="1">
        <v>293</v>
      </c>
      <c r="H51" s="1">
        <v>35843</v>
      </c>
      <c r="I51" s="1">
        <v>-24</v>
      </c>
      <c r="J51" s="1">
        <v>40.644578000000003</v>
      </c>
      <c r="K51" s="1">
        <v>-74.057423999999997</v>
      </c>
      <c r="L51" s="1">
        <f t="shared" si="0"/>
        <v>40</v>
      </c>
      <c r="M51" s="4">
        <f t="shared" si="1"/>
        <v>38.674680000000166</v>
      </c>
      <c r="N51" s="1">
        <f t="shared" si="2"/>
        <v>74</v>
      </c>
      <c r="O51" s="4">
        <f t="shared" si="3"/>
        <v>3.4454399999998486</v>
      </c>
    </row>
    <row r="52" spans="1:15" x14ac:dyDescent="0.25">
      <c r="A52" s="1" t="s">
        <v>64</v>
      </c>
      <c r="B52" s="1">
        <v>166.003691</v>
      </c>
      <c r="C52" s="1">
        <v>178.68742700000001</v>
      </c>
      <c r="D52" s="1">
        <v>2.0164659999999999</v>
      </c>
      <c r="E52" s="1">
        <v>106.82824599999999</v>
      </c>
      <c r="F52" s="1">
        <v>8</v>
      </c>
      <c r="G52" s="1">
        <v>908</v>
      </c>
      <c r="H52" s="1">
        <v>36751</v>
      </c>
      <c r="I52" s="1">
        <v>-3</v>
      </c>
      <c r="J52" s="1">
        <v>40.611967999999997</v>
      </c>
      <c r="K52" s="1">
        <v>-74.046713999999994</v>
      </c>
      <c r="L52" s="1">
        <f t="shared" si="0"/>
        <v>40</v>
      </c>
      <c r="M52" s="4">
        <f t="shared" si="1"/>
        <v>36.718079999999844</v>
      </c>
      <c r="N52" s="1">
        <f t="shared" si="2"/>
        <v>74</v>
      </c>
      <c r="O52" s="4">
        <f t="shared" si="3"/>
        <v>2.8028399999996623</v>
      </c>
    </row>
    <row r="53" spans="1:15" x14ac:dyDescent="0.25">
      <c r="A53" s="1" t="s">
        <v>65</v>
      </c>
      <c r="B53" s="1">
        <v>163.17809199999999</v>
      </c>
      <c r="C53" s="1">
        <v>175.86064200000001</v>
      </c>
      <c r="D53" s="1">
        <v>1.403518</v>
      </c>
      <c r="E53" s="1">
        <v>108.231764</v>
      </c>
      <c r="F53" s="1">
        <v>10</v>
      </c>
      <c r="G53" s="1">
        <v>506</v>
      </c>
      <c r="H53" s="1">
        <v>37257</v>
      </c>
      <c r="I53" s="1">
        <v>4</v>
      </c>
      <c r="J53" s="1">
        <v>40.589576999999998</v>
      </c>
      <c r="K53" s="1">
        <v>-74.037797999999995</v>
      </c>
      <c r="L53" s="1">
        <f t="shared" si="0"/>
        <v>40</v>
      </c>
      <c r="M53" s="4">
        <f t="shared" si="1"/>
        <v>35.374619999999908</v>
      </c>
      <c r="N53" s="1">
        <f t="shared" si="2"/>
        <v>74</v>
      </c>
      <c r="O53" s="4">
        <f t="shared" si="3"/>
        <v>2.2678799999997068</v>
      </c>
    </row>
    <row r="54" spans="1:15" x14ac:dyDescent="0.25">
      <c r="A54" s="1" t="s">
        <v>66</v>
      </c>
      <c r="B54" s="1">
        <v>167.960981</v>
      </c>
      <c r="C54" s="1">
        <v>180.64343199999999</v>
      </c>
      <c r="D54" s="1">
        <v>3.1483859999999999</v>
      </c>
      <c r="E54" s="1">
        <v>111.38015</v>
      </c>
      <c r="F54" s="1">
        <v>10</v>
      </c>
      <c r="G54" s="1">
        <v>1134</v>
      </c>
      <c r="H54" s="1">
        <v>38391</v>
      </c>
      <c r="I54" s="1">
        <v>-24</v>
      </c>
      <c r="J54" s="1">
        <v>40.538257999999999</v>
      </c>
      <c r="K54" s="1">
        <v>-74.023391000000004</v>
      </c>
      <c r="L54" s="1">
        <f t="shared" si="0"/>
        <v>40</v>
      </c>
      <c r="M54" s="4">
        <f t="shared" si="1"/>
        <v>32.295479999999941</v>
      </c>
      <c r="N54" s="1">
        <f t="shared" si="2"/>
        <v>74</v>
      </c>
      <c r="O54" s="4">
        <f t="shared" si="3"/>
        <v>1.4034600000002229</v>
      </c>
    </row>
    <row r="55" spans="1:15" x14ac:dyDescent="0.25">
      <c r="A55" s="1" t="s">
        <v>67</v>
      </c>
      <c r="B55" s="1">
        <v>144.511933</v>
      </c>
      <c r="C55" s="1">
        <v>157.19142600000001</v>
      </c>
      <c r="D55" s="1">
        <v>0.90799200000000002</v>
      </c>
      <c r="E55" s="1">
        <v>112.28814199999999</v>
      </c>
      <c r="F55" s="1">
        <v>10</v>
      </c>
      <c r="G55" s="1">
        <v>327</v>
      </c>
      <c r="H55" s="1">
        <v>38718</v>
      </c>
      <c r="I55" s="1">
        <v>-28</v>
      </c>
      <c r="J55" s="1">
        <v>40.525936000000002</v>
      </c>
      <c r="K55" s="1">
        <v>-74.011831999999998</v>
      </c>
      <c r="L55" s="1">
        <f t="shared" si="0"/>
        <v>40</v>
      </c>
      <c r="M55" s="4">
        <f t="shared" si="1"/>
        <v>31.556160000000091</v>
      </c>
      <c r="N55" s="1">
        <f t="shared" si="2"/>
        <v>74</v>
      </c>
      <c r="O55" s="4">
        <f t="shared" si="3"/>
        <v>0.7099199999998973</v>
      </c>
    </row>
    <row r="56" spans="1:15" x14ac:dyDescent="0.25">
      <c r="A56" s="1" t="s">
        <v>68</v>
      </c>
      <c r="B56" s="1">
        <v>116.99928300000001</v>
      </c>
      <c r="C56" s="1">
        <v>129.681748</v>
      </c>
      <c r="D56" s="1">
        <v>7.3065879999999996</v>
      </c>
      <c r="E56" s="1">
        <v>119.59473</v>
      </c>
      <c r="F56" s="1">
        <v>10</v>
      </c>
      <c r="G56" s="1">
        <v>2631</v>
      </c>
      <c r="H56" s="1">
        <v>41349</v>
      </c>
      <c r="I56" s="1">
        <v>4</v>
      </c>
      <c r="J56" s="1">
        <v>40.470652000000001</v>
      </c>
      <c r="K56" s="1">
        <v>-73.869142999999994</v>
      </c>
      <c r="L56" s="1">
        <f t="shared" si="0"/>
        <v>40</v>
      </c>
      <c r="M56" s="4">
        <f t="shared" si="1"/>
        <v>28.239120000000071</v>
      </c>
      <c r="N56" s="1">
        <f t="shared" si="2"/>
        <v>73</v>
      </c>
      <c r="O56" s="4">
        <f t="shared" si="3"/>
        <v>52.14857999999964</v>
      </c>
    </row>
    <row r="57" spans="1:15" x14ac:dyDescent="0.25">
      <c r="A57" s="1" t="s">
        <v>69</v>
      </c>
      <c r="B57" s="1">
        <v>121.43408700000001</v>
      </c>
      <c r="C57" s="1">
        <v>134.17082600000001</v>
      </c>
      <c r="D57" s="1">
        <v>3.2971870000000001</v>
      </c>
      <c r="E57" s="1">
        <v>122.89191700000001</v>
      </c>
      <c r="F57" s="1">
        <v>11</v>
      </c>
      <c r="G57" s="1">
        <v>1080</v>
      </c>
      <c r="H57" s="1">
        <v>42429</v>
      </c>
      <c r="I57" s="1">
        <v>-9</v>
      </c>
      <c r="J57" s="1">
        <v>40.441992999999997</v>
      </c>
      <c r="K57" s="1">
        <v>-73.807520999999994</v>
      </c>
      <c r="L57" s="1">
        <f t="shared" si="0"/>
        <v>40</v>
      </c>
      <c r="M57" s="4">
        <f t="shared" si="1"/>
        <v>26.519579999999792</v>
      </c>
      <c r="N57" s="1">
        <f t="shared" si="2"/>
        <v>73</v>
      </c>
      <c r="O57" s="4">
        <f t="shared" si="3"/>
        <v>48.45125999999965</v>
      </c>
    </row>
    <row r="58" spans="1:15" x14ac:dyDescent="0.25">
      <c r="A58" s="1" t="s">
        <v>70</v>
      </c>
      <c r="B58" s="1">
        <v>112.76360699999999</v>
      </c>
      <c r="C58" s="1">
        <v>125.52271500000001</v>
      </c>
      <c r="D58" s="1">
        <v>1.7497739999999999</v>
      </c>
      <c r="E58" s="1">
        <v>124.64169099999999</v>
      </c>
      <c r="F58" s="1">
        <v>11</v>
      </c>
      <c r="G58" s="1">
        <v>573</v>
      </c>
      <c r="H58" s="1">
        <v>43002</v>
      </c>
      <c r="I58" s="1"/>
      <c r="J58" s="1">
        <v>40.430709</v>
      </c>
      <c r="K58" s="1">
        <v>-73.772189999999995</v>
      </c>
      <c r="L58" s="1">
        <f t="shared" si="0"/>
        <v>40</v>
      </c>
      <c r="M58" s="4">
        <f t="shared" si="1"/>
        <v>25.842540000000014</v>
      </c>
      <c r="N58" s="1">
        <f t="shared" si="2"/>
        <v>73</v>
      </c>
      <c r="O58" s="4">
        <f t="shared" si="3"/>
        <v>46.331399999999689</v>
      </c>
    </row>
  </sheetData>
  <pageMargins left="0.7" right="0.7" top="0.75" bottom="0.75" header="0.3" footer="0.3"/>
  <pageSetup orientation="portrait" r:id="rId1"/>
  <headerFooter>
    <oddHeader>&amp;A</oddHeader>
    <oddFooter>Page &amp;P of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LNW Reader</vt:lpstr>
      <vt:lpstr>Autoline Extractor</vt:lpstr>
      <vt:lpstr>Sperry Utilities</vt:lpstr>
      <vt:lpstr>Route Maker- Start Here</vt:lpstr>
      <vt:lpstr>Data Input</vt:lpstr>
      <vt:lpstr>The Race to Ambrose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Imberi</dc:creator>
  <cp:keywords/>
  <dc:description/>
  <cp:lastModifiedBy>Anthony Imberi</cp:lastModifiedBy>
  <dcterms:created xsi:type="dcterms:W3CDTF">2024-09-18T21:08:48Z</dcterms:created>
  <dcterms:modified xsi:type="dcterms:W3CDTF">2026-04-05T00:41:49Z</dcterms:modified>
  <cp:category/>
</cp:coreProperties>
</file>